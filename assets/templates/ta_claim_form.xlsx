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2" autoFilterDateGrouping="1"/>
  </bookViews>
  <sheets>
    <sheet name="ตารางสอน" sheetId="1" state="visible" r:id="rId1"/>
    <sheet name="ภาคปกติ" sheetId="2" state="visible" r:id="rId2"/>
    <sheet name="โครงการพิเศษ" sheetId="3" state="visible" r:id="rId3"/>
  </sheets>
  <definedNames>
    <definedName name="_xlnm.Print_Area" localSheetId="0">'ตารางสอน'!$A$1:$AB$25</definedName>
    <definedName name="_xlnm.Print_Area" localSheetId="1">'ภาคปกติ'!$A$1:$J$38</definedName>
    <definedName name="_xlnm.Print_Area" localSheetId="2">'โครงการพิเศษ'!$A$1:$J$38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charset val="222"/>
      <family val="2"/>
      <color theme="1"/>
      <sz val="11"/>
      <scheme val="minor"/>
    </font>
    <font>
      <name val="TH Sarabun New"/>
      <family val="2"/>
      <b val="1"/>
      <color theme="1"/>
      <sz val="16"/>
    </font>
    <font>
      <name val="TH Sarabun New"/>
      <family val="2"/>
      <color theme="1"/>
      <sz val="16"/>
    </font>
    <font>
      <name val="Calibri"/>
      <charset val="222"/>
      <family val="2"/>
      <sz val="8"/>
      <scheme val="minor"/>
    </font>
    <font>
      <name val="TH Sarabun New"/>
      <family val="2"/>
      <b val="1"/>
      <color theme="1"/>
      <sz val="20"/>
    </font>
    <font>
      <name val="Cordia New"/>
      <family val="2"/>
      <sz val="14"/>
    </font>
    <font>
      <name val="TH Sarabun New"/>
      <family val="2"/>
      <b val="1"/>
      <sz val="12"/>
    </font>
    <font>
      <name val="TH Sarabun New"/>
      <family val="2"/>
      <b val="1"/>
      <color rgb="FF000000"/>
      <sz val="12"/>
    </font>
    <font>
      <name val="TH Sarabun New"/>
      <family val="2"/>
      <b val="1"/>
      <sz val="15"/>
    </font>
    <font>
      <name val="TH Sarabun New"/>
      <family val="2"/>
      <b val="1"/>
      <sz val="14"/>
    </font>
    <font>
      <name val="TH Sarabun New"/>
      <family val="2"/>
      <b val="1"/>
      <color rgb="FFFF0000"/>
      <sz val="8.5"/>
    </font>
    <font>
      <name val="TH Sarabun New"/>
      <family val="2"/>
      <color theme="1"/>
      <sz val="14"/>
    </font>
    <font>
      <name val="TH Sarabun New"/>
      <family val="2"/>
      <b val="1"/>
      <sz val="16"/>
      <u val="single"/>
    </font>
    <font>
      <name val="Calibri"/>
      <charset val="222"/>
      <family val="2"/>
      <color theme="1"/>
      <sz val="11"/>
      <scheme val="minor"/>
    </font>
    <font>
      <name val="TH Sarabun New"/>
      <family val="2"/>
      <b val="1"/>
      <color theme="1"/>
      <sz val="13"/>
    </font>
    <font>
      <name val="TH Sarabun New"/>
      <family val="2"/>
      <color theme="1"/>
      <sz val="13"/>
    </font>
    <font>
      <name val="TH Sarabun New"/>
      <family val="2"/>
      <sz val="13"/>
    </font>
    <font>
      <name val="TH Sarabun New"/>
      <family val="2"/>
      <color rgb="FF000000"/>
      <sz val="13"/>
    </font>
    <font>
      <name val="TH Sarabun New"/>
      <family val="2"/>
      <color theme="0" tint="-0.1499984740745262"/>
      <sz val="13"/>
    </font>
    <font>
      <name val="TH Sarabun New"/>
      <family val="2"/>
      <b val="1"/>
      <color rgb="FFFF0000"/>
      <sz val="11"/>
    </font>
    <font>
      <name val="TH Sarabun New"/>
      <family val="2"/>
      <b val="1"/>
      <color rgb="FFFF0000"/>
      <sz val="10"/>
    </font>
    <font>
      <name val="TH Sarabun New"/>
      <family val="2"/>
      <color theme="1"/>
      <sz val="12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8E4BD"/>
        <bgColor indexed="64"/>
      </patternFill>
    </fill>
    <fill>
      <patternFill patternType="solid">
        <fgColor rgb="FFFEE9D9"/>
        <bgColor indexed="64"/>
      </patternFill>
    </fill>
    <fill>
      <patternFill patternType="solid">
        <fgColor theme="8" tint="0.79998168889431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13" fillId="0" borderId="0"/>
    <xf numFmtId="0" fontId="5" fillId="0" borderId="0"/>
    <xf numFmtId="43" fontId="13" fillId="0" borderId="0"/>
  </cellStyleXfs>
  <cellXfs count="140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3" applyAlignment="1" pivotButton="0" quotePrefix="0" xfId="1">
      <alignment horizontal="left" vertical="center"/>
    </xf>
    <xf numFmtId="0" fontId="6" fillId="0" borderId="2" applyAlignment="1" pivotButton="0" quotePrefix="0" xfId="1">
      <alignment horizontal="right" vertical="center"/>
    </xf>
    <xf numFmtId="0" fontId="6" fillId="0" borderId="6" applyAlignment="1" pivotButton="0" quotePrefix="0" xfId="1">
      <alignment horizontal="center" vertical="center"/>
    </xf>
    <xf numFmtId="0" fontId="7" fillId="0" borderId="9" pivotButton="0" quotePrefix="0" xfId="0"/>
    <xf numFmtId="0" fontId="8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7" fillId="0" borderId="11" pivotButton="0" quotePrefix="0" xfId="0"/>
    <xf numFmtId="0" fontId="6" fillId="0" borderId="12" applyAlignment="1" pivotButton="0" quotePrefix="0" xfId="1">
      <alignment horizontal="center" vertic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2" fontId="15" fillId="0" borderId="1" applyAlignment="1" pivotButton="0" quotePrefix="0" xfId="2">
      <alignment horizontal="center" vertical="center"/>
    </xf>
    <xf numFmtId="0" fontId="15" fillId="0" borderId="13" applyAlignment="1" pivotButton="0" quotePrefix="0" xfId="0">
      <alignment horizontal="center" vertical="center"/>
    </xf>
    <xf numFmtId="14" fontId="15" fillId="0" borderId="13" applyAlignment="1" pivotButton="0" quotePrefix="0" xfId="0">
      <alignment horizontal="center" vertical="center"/>
    </xf>
    <xf numFmtId="2" fontId="15" fillId="0" borderId="13" applyAlignment="1" pivotButton="0" quotePrefix="0" xfId="2">
      <alignment horizontal="center" vertical="center"/>
    </xf>
    <xf numFmtId="0" fontId="15" fillId="0" borderId="4" applyAlignment="1" pivotButton="0" quotePrefix="0" xfId="0">
      <alignment horizontal="center" vertical="center"/>
    </xf>
    <xf numFmtId="14" fontId="15" fillId="0" borderId="4" applyAlignment="1" pivotButton="0" quotePrefix="0" xfId="0">
      <alignment horizontal="center" vertical="center"/>
    </xf>
    <xf numFmtId="2" fontId="15" fillId="0" borderId="4" applyAlignment="1" pivotButton="0" quotePrefix="0" xfId="2">
      <alignment horizontal="center" vertical="center"/>
    </xf>
    <xf numFmtId="0" fontId="15" fillId="0" borderId="14" applyAlignment="1" pivotButton="0" quotePrefix="0" xfId="0">
      <alignment horizontal="center" vertical="center"/>
    </xf>
    <xf numFmtId="14" fontId="15" fillId="0" borderId="14" applyAlignment="1" pivotButton="0" quotePrefix="0" xfId="0">
      <alignment horizontal="center" vertical="center"/>
    </xf>
    <xf numFmtId="2" fontId="15" fillId="0" borderId="14" applyAlignment="1" pivotButton="0" quotePrefix="0" xfId="2">
      <alignment horizontal="center" vertical="center"/>
    </xf>
    <xf numFmtId="2" fontId="15" fillId="0" borderId="2" applyAlignment="1" pivotButton="0" quotePrefix="0" xfId="2">
      <alignment horizontal="center" vertical="center"/>
    </xf>
    <xf numFmtId="49" fontId="15" fillId="0" borderId="0" applyAlignment="1" pivotButton="0" quotePrefix="0" xfId="0">
      <alignment horizontal="left" vertical="center"/>
    </xf>
    <xf numFmtId="164" fontId="15" fillId="0" borderId="0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/>
    </xf>
    <xf numFmtId="0" fontId="14" fillId="0" borderId="15" applyAlignment="1" pivotButton="0" quotePrefix="0" xfId="0">
      <alignment horizontal="center"/>
    </xf>
    <xf numFmtId="0" fontId="14" fillId="0" borderId="19" applyAlignment="1" pivotButton="0" quotePrefix="0" xfId="0">
      <alignment horizontal="center"/>
    </xf>
    <xf numFmtId="0" fontId="15" fillId="0" borderId="5" applyAlignment="1" pivotButton="0" quotePrefix="0" xfId="0">
      <alignment horizontal="center" vertical="center"/>
    </xf>
    <xf numFmtId="14" fontId="15" fillId="0" borderId="5" applyAlignment="1" pivotButton="0" quotePrefix="0" xfId="0">
      <alignment horizontal="center" vertical="center"/>
    </xf>
    <xf numFmtId="2" fontId="15" fillId="0" borderId="5" applyAlignment="1" pivotButton="0" quotePrefix="0" xfId="2">
      <alignment horizontal="center" vertical="center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7" fillId="0" borderId="22" pivotButton="0" quotePrefix="0" xfId="0"/>
    <xf numFmtId="0" fontId="7" fillId="0" borderId="23" pivotButton="0" quotePrefix="0" xfId="0"/>
    <xf numFmtId="0" fontId="21" fillId="0" borderId="0" pivotButton="0" quotePrefix="0" xfId="0"/>
    <xf numFmtId="0" fontId="15" fillId="0" borderId="18" applyAlignment="1" pivotButton="0" quotePrefix="0" xfId="0">
      <alignment horizontal="center"/>
    </xf>
    <xf numFmtId="0" fontId="16" fillId="0" borderId="16" pivotButton="0" quotePrefix="0" xfId="0"/>
    <xf numFmtId="0" fontId="16" fillId="0" borderId="17" pivotButton="0" quotePrefix="0" xfId="0"/>
    <xf numFmtId="0" fontId="15" fillId="0" borderId="16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14" fontId="15" fillId="0" borderId="15" applyAlignment="1" pivotButton="0" quotePrefix="0" xfId="0">
      <alignment horizontal="center"/>
    </xf>
    <xf numFmtId="0" fontId="15" fillId="0" borderId="0" pivotButton="0" quotePrefix="0" xfId="0"/>
    <xf numFmtId="0" fontId="15" fillId="0" borderId="19" pivotButton="0" quotePrefix="0" xfId="0"/>
    <xf numFmtId="0" fontId="15" fillId="0" borderId="15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5" fillId="0" borderId="19" applyAlignment="1" pivotButton="0" quotePrefix="0" xfId="0">
      <alignment horizontal="center"/>
    </xf>
    <xf numFmtId="0" fontId="17" fillId="0" borderId="0" pivotButton="0" quotePrefix="0" xfId="0"/>
    <xf numFmtId="0" fontId="16" fillId="0" borderId="19" pivotButton="0" quotePrefix="0" xfId="0"/>
    <xf numFmtId="0" fontId="14" fillId="0" borderId="18" applyAlignment="1" pivotButton="0" quotePrefix="0" xfId="0">
      <alignment horizontal="center"/>
    </xf>
    <xf numFmtId="0" fontId="14" fillId="0" borderId="16" applyAlignment="1" pivotButton="0" quotePrefix="0" xfId="0">
      <alignment horizontal="center"/>
    </xf>
    <xf numFmtId="0" fontId="15" fillId="2" borderId="1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6" fillId="5" borderId="7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20" fillId="5" borderId="7" applyAlignment="1" pivotButton="0" quotePrefix="0" xfId="1">
      <alignment horizontal="center" vertical="center" wrapText="1"/>
    </xf>
    <xf numFmtId="0" fontId="20" fillId="5" borderId="10" applyAlignment="1" pivotButton="0" quotePrefix="0" xfId="1">
      <alignment horizontal="center" vertical="center" wrapText="1"/>
    </xf>
    <xf numFmtId="0" fontId="20" fillId="5" borderId="8" applyAlignment="1" pivotButton="0" quotePrefix="0" xfId="1">
      <alignment horizontal="center" vertical="center" wrapText="1"/>
    </xf>
    <xf numFmtId="0" fontId="19" fillId="5" borderId="7" applyAlignment="1" pivotButton="0" quotePrefix="0" xfId="1">
      <alignment horizontal="center" vertical="center" wrapText="1"/>
    </xf>
    <xf numFmtId="0" fontId="19" fillId="5" borderId="10" applyAlignment="1" pivotButton="0" quotePrefix="0" xfId="1">
      <alignment horizontal="center" vertical="center" wrapText="1"/>
    </xf>
    <xf numFmtId="0" fontId="19" fillId="5" borderId="8" applyAlignment="1" pivotButton="0" quotePrefix="0" xfId="1">
      <alignment horizontal="center" vertical="center" wrapText="1"/>
    </xf>
    <xf numFmtId="0" fontId="6" fillId="3" borderId="7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10" fillId="3" borderId="7" applyAlignment="1" pivotButton="0" quotePrefix="0" xfId="1">
      <alignment horizontal="center" vertical="center" wrapText="1"/>
    </xf>
    <xf numFmtId="0" fontId="10" fillId="3" borderId="8" applyAlignment="1" pivotButton="0" quotePrefix="0" xfId="1">
      <alignment horizontal="center" vertical="center" wrapText="1"/>
    </xf>
    <xf numFmtId="0" fontId="19" fillId="3" borderId="7" applyAlignment="1" pivotButton="0" quotePrefix="0" xfId="1">
      <alignment horizontal="center" vertical="center" wrapText="1"/>
    </xf>
    <xf numFmtId="0" fontId="19" fillId="3" borderId="10" applyAlignment="1" pivotButton="0" quotePrefix="0" xfId="1">
      <alignment horizontal="center" vertical="center" wrapText="1"/>
    </xf>
    <xf numFmtId="0" fontId="19" fillId="3" borderId="8" applyAlignment="1" pivotButton="0" quotePrefix="0" xfId="1">
      <alignment horizontal="center" vertical="center" wrapText="1"/>
    </xf>
    <xf numFmtId="0" fontId="10" fillId="4" borderId="7" applyAlignment="1" pivotButton="0" quotePrefix="0" xfId="1">
      <alignment horizontal="center" vertical="center" wrapText="1"/>
    </xf>
    <xf numFmtId="0" fontId="10" fillId="4" borderId="8" applyAlignment="1" pivotButton="0" quotePrefix="0" xfId="1">
      <alignment horizontal="center" vertical="center" wrapText="1"/>
    </xf>
    <xf numFmtId="0" fontId="6" fillId="4" borderId="7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19" fillId="4" borderId="7" applyAlignment="1" pivotButton="0" quotePrefix="0" xfId="1">
      <alignment horizontal="center" vertical="center" wrapText="1"/>
    </xf>
    <xf numFmtId="0" fontId="19" fillId="4" borderId="10" applyAlignment="1" pivotButton="0" quotePrefix="0" xfId="1">
      <alignment horizontal="center" vertical="center" wrapText="1"/>
    </xf>
    <xf numFmtId="0" fontId="19" fillId="4" borderId="8" applyAlignment="1" pivotButton="0" quotePrefix="0" xfId="1">
      <alignment horizontal="center" vertical="center" wrapText="1"/>
    </xf>
    <xf numFmtId="0" fontId="20" fillId="4" borderId="7" applyAlignment="1" pivotButton="0" quotePrefix="0" xfId="1">
      <alignment horizontal="center" vertical="center" wrapText="1"/>
    </xf>
    <xf numFmtId="0" fontId="20" fillId="4" borderId="10" applyAlignment="1" pivotButton="0" quotePrefix="0" xfId="1">
      <alignment horizontal="center" vertical="center" wrapText="1"/>
    </xf>
    <xf numFmtId="0" fontId="20" fillId="4" borderId="8" applyAlignment="1" pivotButton="0" quotePrefix="0" xfId="1">
      <alignment horizontal="center" vertical="center" wrapText="1"/>
    </xf>
    <xf numFmtId="0" fontId="11" fillId="0" borderId="0" applyAlignment="1" pivotButton="0" quotePrefix="0" xfId="0">
      <alignment horizontal="center"/>
    </xf>
    <xf numFmtId="0" fontId="6" fillId="0" borderId="3" applyAlignment="1" pivotButton="0" quotePrefix="0" xfId="1">
      <alignment horizontal="center" vertical="center"/>
    </xf>
    <xf numFmtId="0" fontId="6" fillId="0" borderId="2" applyAlignment="1" pivotButton="0" quotePrefix="0" xfId="1">
      <alignment horizontal="center" vertical="center"/>
    </xf>
    <xf numFmtId="0" fontId="11" fillId="4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6" fillId="0" borderId="21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6" fillId="0" borderId="11" applyAlignment="1" pivotButton="0" quotePrefix="0" xfId="1">
      <alignment horizontal="center" vertical="center"/>
    </xf>
    <xf numFmtId="0" fontId="6" fillId="0" borderId="6" applyAlignment="1" pivotButton="0" quotePrefix="0" xfId="1">
      <alignment horizontal="center" vertical="center"/>
    </xf>
    <xf numFmtId="0" fontId="6" fillId="0" borderId="12" applyAlignment="1" pivotButton="0" quotePrefix="0" xfId="1">
      <alignment horizontal="center" vertical="center"/>
    </xf>
    <xf numFmtId="0" fontId="1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1" fillId="0" borderId="20" applyAlignment="1" pivotButton="0" quotePrefix="0" xfId="0">
      <alignment horizontal="right"/>
    </xf>
    <xf numFmtId="0" fontId="0" fillId="0" borderId="20" pivotButton="0" quotePrefix="0" xfId="0"/>
    <xf numFmtId="0" fontId="6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6" pivotButton="0" quotePrefix="0" xfId="0"/>
    <xf numFmtId="0" fontId="0" fillId="0" borderId="12" pivotButton="0" quotePrefix="0" xfId="0"/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 wrapText="1"/>
    </xf>
    <xf numFmtId="0" fontId="0" fillId="0" borderId="2" pivotButton="0" quotePrefix="0" xfId="0"/>
    <xf numFmtId="0" fontId="19" fillId="0" borderId="1" applyAlignment="1" pivotButton="0" quotePrefix="0" xfId="1">
      <alignment horizontal="center" vertical="center" wrapText="1"/>
    </xf>
    <xf numFmtId="0" fontId="0" fillId="0" borderId="21" pivotButton="0" quotePrefix="0" xfId="0"/>
    <xf numFmtId="0" fontId="20" fillId="0" borderId="1" applyAlignment="1" pivotButton="0" quotePrefix="0" xfId="1">
      <alignment horizontal="center" vertical="center" wrapText="1"/>
    </xf>
    <xf numFmtId="0" fontId="0" fillId="0" borderId="10" pivotButton="0" quotePrefix="0" xfId="0"/>
    <xf numFmtId="0" fontId="0" fillId="0" borderId="8" pivotButton="0" quotePrefix="0" xfId="0"/>
    <xf numFmtId="0" fontId="14" fillId="0" borderId="26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0" fontId="14" fillId="0" borderId="17" applyAlignment="1" pivotButton="0" quotePrefix="0" xfId="0">
      <alignment horizontal="center"/>
    </xf>
    <xf numFmtId="0" fontId="15" fillId="0" borderId="25" applyAlignment="1" pivotButton="0" quotePrefix="0" xfId="0">
      <alignment horizontal="center"/>
    </xf>
    <xf numFmtId="0" fontId="0" fillId="0" borderId="19" pivotButton="0" quotePrefix="0" xfId="0"/>
    <xf numFmtId="14" fontId="15" fillId="0" borderId="25" applyAlignment="1" pivotButton="0" quotePrefix="0" xfId="0">
      <alignment horizontal="center"/>
    </xf>
    <xf numFmtId="0" fontId="15" fillId="0" borderId="26" applyAlignment="1" pivotButton="0" quotePrefix="0" xfId="0">
      <alignment horizontal="center"/>
    </xf>
  </cellXfs>
  <cellStyles count="3">
    <cellStyle name="Normal" xfId="0" builtinId="0"/>
    <cellStyle name="ปกติ_Sheet1" xfId="1"/>
    <cellStyle name="Comma" xfId="2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B25"/>
  <sheetViews>
    <sheetView view="pageBreakPreview" topLeftCell="A12" zoomScale="115" zoomScaleNormal="110" zoomScaleSheetLayoutView="115" zoomScalePageLayoutView="140" workbookViewId="0">
      <selection activeCell="D7" sqref="F7"/>
    </sheetView>
  </sheetViews>
  <sheetFormatPr baseColWidth="8" defaultColWidth="9" defaultRowHeight="24"/>
  <cols>
    <col width="8.7109375" customWidth="1" style="1" min="1" max="1"/>
    <col width="9.42578125" customWidth="1" style="1" min="2" max="2"/>
    <col width="6.140625" customWidth="1" style="1" min="3" max="5"/>
    <col width="6.5703125" customWidth="1" style="1" min="6" max="6"/>
    <col width="6.140625" customWidth="1" style="1" min="7" max="13"/>
    <col width="7" customWidth="1" style="1" min="14" max="14"/>
    <col width="6.140625" customWidth="1" style="1" min="15" max="15"/>
    <col width="7" customWidth="1" style="1" min="16" max="16"/>
    <col width="6.140625" customWidth="1" style="1" min="17" max="27"/>
    <col width="6.7109375" customWidth="1" style="1" min="28" max="28"/>
    <col width="9" customWidth="1" style="1" min="29" max="16384"/>
  </cols>
  <sheetData>
    <row r="1" ht="48" customHeight="1">
      <c r="B1" s="117" t="inlineStr">
        <is>
          <t>ตารางเรียนและตารางปฏิบัติงาน (TA)  ภาคต้น  ปีการศึกษา 2569</t>
        </is>
      </c>
      <c r="AA1" s="116" t="n"/>
    </row>
    <row r="3">
      <c r="B3" s="118" t="inlineStr">
        <is>
          <t xml:space="preserve">ชื่อ </t>
        </is>
      </c>
      <c r="C3" s="119" t="n"/>
      <c r="D3" s="119" t="n"/>
      <c r="E3" s="119" t="n"/>
      <c r="F3" s="119" t="n"/>
      <c r="G3" s="119" t="n"/>
      <c r="H3" s="119" t="n"/>
      <c r="I3" s="115" t="n"/>
      <c r="J3" s="119" t="n"/>
      <c r="K3" s="119" t="n"/>
      <c r="L3" s="119" t="n"/>
      <c r="M3" s="114" t="inlineStr">
        <is>
          <t>รหัสนักศึกษา</t>
        </is>
      </c>
      <c r="N3" s="119" t="n"/>
      <c r="O3" s="115" t="n"/>
      <c r="P3" s="119" t="n"/>
      <c r="Q3" s="119" t="n"/>
      <c r="R3" s="114" t="inlineStr">
        <is>
          <t>ระดับ</t>
        </is>
      </c>
      <c r="S3" s="119" t="n"/>
      <c r="T3" s="115" t="inlineStr">
        <is>
          <t>ปริญญาตรี</t>
        </is>
      </c>
      <c r="U3" s="119" t="n"/>
      <c r="V3" s="119" t="n"/>
    </row>
    <row r="4">
      <c r="B4" s="3" t="inlineStr">
        <is>
          <t>วัน</t>
        </is>
      </c>
      <c r="C4" s="120" t="inlineStr">
        <is>
          <t>08.00-09.00</t>
        </is>
      </c>
      <c r="D4" s="121" t="n"/>
      <c r="E4" s="120" t="inlineStr">
        <is>
          <t>09.00-10.00</t>
        </is>
      </c>
      <c r="F4" s="121" t="n"/>
      <c r="G4" s="120" t="inlineStr">
        <is>
          <t>10.00-11.00</t>
        </is>
      </c>
      <c r="H4" s="121" t="n"/>
      <c r="I4" s="120" t="inlineStr">
        <is>
          <t>11.00-12.00</t>
        </is>
      </c>
      <c r="J4" s="121" t="n"/>
      <c r="K4" s="120" t="inlineStr">
        <is>
          <t>12.00-13.00</t>
        </is>
      </c>
      <c r="L4" s="121" t="n"/>
      <c r="M4" s="120" t="inlineStr">
        <is>
          <t>13.00-14.00</t>
        </is>
      </c>
      <c r="N4" s="121" t="n"/>
      <c r="O4" s="120" t="inlineStr">
        <is>
          <t>14.00-15.00</t>
        </is>
      </c>
      <c r="P4" s="121" t="n"/>
      <c r="Q4" s="120" t="inlineStr">
        <is>
          <t>15.00-16.00</t>
        </is>
      </c>
      <c r="R4" s="121" t="n"/>
      <c r="S4" s="120" t="inlineStr">
        <is>
          <t>16.00-17.00</t>
        </is>
      </c>
      <c r="T4" s="121" t="n"/>
      <c r="U4" s="120" t="inlineStr">
        <is>
          <t>17.00-18.00</t>
        </is>
      </c>
      <c r="V4" s="121" t="n"/>
      <c r="W4" s="120" t="inlineStr">
        <is>
          <t>18.00-19.00</t>
        </is>
      </c>
      <c r="X4" s="121" t="n"/>
      <c r="Y4" s="120" t="inlineStr">
        <is>
          <t>19.00-20.00</t>
        </is>
      </c>
      <c r="Z4" s="121" t="n"/>
      <c r="AA4" s="120" t="inlineStr">
        <is>
          <t>20.00-21.00</t>
        </is>
      </c>
      <c r="AB4" s="121" t="n"/>
    </row>
    <row r="5">
      <c r="B5" s="4" t="inlineStr">
        <is>
          <t>เวลา</t>
        </is>
      </c>
      <c r="C5" s="122" t="n"/>
      <c r="D5" s="123" t="n"/>
      <c r="E5" s="122" t="n"/>
      <c r="F5" s="123" t="n"/>
      <c r="G5" s="122" t="n"/>
      <c r="H5" s="123" t="n"/>
      <c r="I5" s="122" t="n"/>
      <c r="J5" s="123" t="n"/>
      <c r="K5" s="122" t="n"/>
      <c r="L5" s="123" t="n"/>
      <c r="M5" s="122" t="n"/>
      <c r="N5" s="123" t="n"/>
      <c r="O5" s="122" t="n"/>
      <c r="P5" s="123" t="n"/>
      <c r="Q5" s="122" t="n"/>
      <c r="R5" s="123" t="n"/>
      <c r="S5" s="122" t="n"/>
      <c r="T5" s="123" t="n"/>
      <c r="U5" s="122" t="n"/>
      <c r="V5" s="123" t="n"/>
      <c r="W5" s="122" t="n"/>
      <c r="X5" s="123" t="n"/>
      <c r="Y5" s="122" t="n"/>
      <c r="Z5" s="123" t="n"/>
      <c r="AA5" s="122" t="n"/>
      <c r="AB5" s="123" t="n"/>
    </row>
    <row r="6" ht="24" customHeight="1">
      <c r="B6" s="120" t="inlineStr">
        <is>
          <t>จันทร์</t>
        </is>
      </c>
      <c r="C6" s="6" t="n"/>
      <c r="D6" s="9" t="n"/>
      <c r="E6" s="6" t="n"/>
      <c r="F6" s="9" t="n"/>
      <c r="G6" s="6" t="n"/>
      <c r="H6" s="9" t="n"/>
      <c r="I6" s="6" t="n"/>
      <c r="J6" s="9" t="n"/>
      <c r="K6" s="6" t="n"/>
      <c r="L6" s="9" t="n"/>
      <c r="M6" s="124" t="n"/>
      <c r="Q6" s="124" t="n"/>
      <c r="U6" s="124" t="n"/>
      <c r="Y6" s="125" t="n"/>
      <c r="AA6" s="125" t="n"/>
    </row>
    <row r="7" ht="24" customHeight="1">
      <c r="B7" s="126" t="n"/>
      <c r="C7" s="112" t="n"/>
      <c r="D7" s="113" t="n"/>
      <c r="E7" s="112" t="n"/>
      <c r="F7" s="113" t="n"/>
      <c r="G7" s="112" t="n"/>
      <c r="H7" s="113" t="n"/>
      <c r="I7" s="112" t="n"/>
      <c r="J7" s="113" t="n"/>
      <c r="K7" s="112" t="n"/>
      <c r="L7" s="113" t="n"/>
      <c r="M7" s="112" t="n"/>
      <c r="N7" s="113" t="n"/>
      <c r="O7" s="125" t="n"/>
      <c r="Q7" s="127" t="n"/>
      <c r="U7" s="127" t="n"/>
      <c r="Y7" s="112" t="n"/>
      <c r="Z7" s="113" t="n"/>
      <c r="AA7" s="112" t="n"/>
      <c r="AB7" s="113" t="n"/>
    </row>
    <row r="8">
      <c r="B8" s="105" t="inlineStr">
        <is>
          <t>อังคาร</t>
        </is>
      </c>
      <c r="C8" s="6" t="n"/>
      <c r="D8" s="9" t="n"/>
      <c r="E8" s="6" t="n"/>
      <c r="F8" s="9" t="n"/>
      <c r="G8" s="6" t="n"/>
      <c r="H8" s="9" t="n"/>
      <c r="I8" s="6" t="n"/>
      <c r="J8" s="9" t="n"/>
      <c r="K8" s="6" t="n"/>
      <c r="L8" s="9" t="n"/>
      <c r="M8" s="124" t="n"/>
      <c r="Q8" s="6" t="n"/>
      <c r="R8" s="9" t="n"/>
      <c r="S8" s="6" t="n"/>
      <c r="T8" s="9" t="n"/>
      <c r="U8" s="6" t="n"/>
      <c r="V8" s="9" t="n"/>
      <c r="W8" s="6" t="n"/>
      <c r="X8" s="9" t="n"/>
      <c r="Y8" s="6" t="n"/>
      <c r="Z8" s="9" t="n"/>
      <c r="AA8" s="6" t="n"/>
      <c r="AB8" s="9" t="n"/>
    </row>
    <row r="9">
      <c r="B9" s="128" t="n"/>
      <c r="C9" s="45" t="n"/>
      <c r="D9" s="46" t="n"/>
      <c r="E9" s="45" t="n"/>
      <c r="F9" s="46" t="n"/>
      <c r="G9" s="45" t="n"/>
      <c r="H9" s="46" t="n"/>
      <c r="I9" s="45" t="n"/>
      <c r="J9" s="46" t="n"/>
      <c r="K9" s="45" t="n"/>
      <c r="L9" s="46" t="n"/>
      <c r="M9" s="45" t="n"/>
      <c r="N9" s="46" t="n"/>
      <c r="O9" s="125" t="n"/>
      <c r="Q9" s="45" t="n"/>
      <c r="R9" s="46" t="n"/>
      <c r="S9" s="45" t="n"/>
      <c r="T9" s="46" t="n"/>
      <c r="U9" s="112" t="n"/>
      <c r="V9" s="113" t="n"/>
      <c r="W9" s="112" t="n"/>
      <c r="X9" s="113" t="n"/>
      <c r="Y9" s="45" t="n"/>
      <c r="Z9" s="46" t="n"/>
      <c r="AA9" s="45" t="n"/>
      <c r="AB9" s="46" t="n"/>
    </row>
    <row r="10" ht="24" customHeight="1">
      <c r="B10" s="120" t="inlineStr">
        <is>
          <t>พุธ</t>
        </is>
      </c>
      <c r="C10" s="6" t="n"/>
      <c r="D10" s="9" t="n"/>
      <c r="E10" s="6" t="n"/>
      <c r="F10" s="9" t="n"/>
      <c r="G10" s="6" t="n"/>
      <c r="H10" s="9" t="n"/>
      <c r="I10" s="6" t="n"/>
      <c r="J10" s="9" t="n"/>
      <c r="K10" s="6" t="n"/>
      <c r="L10" s="9" t="n"/>
      <c r="M10" s="6" t="n"/>
      <c r="N10" s="9" t="n"/>
      <c r="O10" s="6" t="n"/>
      <c r="P10" s="9" t="n"/>
      <c r="Q10" s="6" t="n"/>
      <c r="R10" s="9" t="n"/>
      <c r="S10" s="6" t="n"/>
      <c r="T10" s="9" t="n"/>
      <c r="U10" s="6" t="n"/>
      <c r="V10" s="9" t="n"/>
      <c r="W10" s="6" t="n"/>
      <c r="X10" s="9" t="n"/>
      <c r="Y10" s="6" t="n"/>
      <c r="Z10" s="9" t="n"/>
      <c r="AA10" s="6" t="n"/>
      <c r="AB10" s="9" t="n"/>
    </row>
    <row r="11" ht="24" customHeight="1">
      <c r="B11" s="126" t="n"/>
      <c r="C11" s="112" t="n"/>
      <c r="D11" s="113" t="n"/>
      <c r="E11" s="112" t="n"/>
      <c r="F11" s="113" t="n"/>
      <c r="G11" s="112" t="n"/>
      <c r="H11" s="113" t="n"/>
      <c r="I11" s="112" t="n"/>
      <c r="J11" s="113" t="n"/>
      <c r="K11" s="112" t="n"/>
      <c r="L11" s="113" t="n"/>
      <c r="M11" s="112" t="n"/>
      <c r="N11" s="113" t="n"/>
      <c r="O11" s="112" t="n"/>
      <c r="P11" s="113" t="n"/>
      <c r="Q11" s="112" t="n"/>
      <c r="R11" s="113" t="n"/>
      <c r="S11" s="112" t="n"/>
      <c r="T11" s="113" t="n"/>
      <c r="U11" s="112" t="n"/>
      <c r="V11" s="113" t="n"/>
      <c r="W11" s="112" t="n"/>
      <c r="X11" s="113" t="n"/>
      <c r="Y11" s="112" t="n"/>
      <c r="Z11" s="113" t="n"/>
      <c r="AA11" s="112" t="n"/>
      <c r="AB11" s="113" t="n"/>
    </row>
    <row r="12" ht="33" customHeight="1">
      <c r="B12" s="120" t="inlineStr">
        <is>
          <t>พฤหัส</t>
        </is>
      </c>
      <c r="C12" s="6" t="n"/>
      <c r="D12" s="9" t="n"/>
      <c r="E12" s="6" t="n"/>
      <c r="F12" s="9" t="n"/>
      <c r="G12" s="6" t="n"/>
      <c r="H12" s="9" t="n"/>
      <c r="I12" s="6" t="n"/>
      <c r="J12" s="9" t="n"/>
      <c r="K12" s="6" t="n"/>
      <c r="L12" s="9" t="n"/>
      <c r="M12" s="6" t="n"/>
      <c r="N12" s="9" t="n"/>
      <c r="O12" s="6" t="n"/>
      <c r="P12" s="9" t="n"/>
      <c r="Q12" s="6" t="n"/>
      <c r="R12" s="9" t="n"/>
      <c r="S12" s="6" t="n"/>
      <c r="T12" s="9" t="n"/>
      <c r="U12" s="6" t="n"/>
      <c r="V12" s="9" t="n"/>
      <c r="W12" s="6" t="n"/>
      <c r="X12" s="9" t="n"/>
      <c r="Y12" s="6" t="n"/>
      <c r="Z12" s="9" t="n"/>
      <c r="AA12" s="6" t="n"/>
      <c r="AB12" s="9" t="n"/>
    </row>
    <row r="13" ht="30.75" customHeight="1">
      <c r="B13" s="126" t="n"/>
      <c r="C13" s="112" t="n"/>
      <c r="D13" s="113" t="n"/>
      <c r="E13" s="112" t="n"/>
      <c r="F13" s="113" t="n"/>
      <c r="G13" s="112" t="n"/>
      <c r="H13" s="113" t="n"/>
      <c r="I13" s="112" t="n"/>
      <c r="J13" s="113" t="n"/>
      <c r="K13" s="112" t="n"/>
      <c r="L13" s="113" t="n"/>
      <c r="M13" s="112" t="n"/>
      <c r="N13" s="113" t="n"/>
      <c r="O13" s="112" t="n"/>
      <c r="P13" s="113" t="n"/>
      <c r="Q13" s="112" t="n"/>
      <c r="R13" s="113" t="n"/>
      <c r="S13" s="112" t="n"/>
      <c r="T13" s="113" t="n"/>
      <c r="U13" s="112" t="n"/>
      <c r="V13" s="113" t="n"/>
      <c r="W13" s="112" t="n"/>
      <c r="X13" s="113" t="n"/>
      <c r="Y13" s="112" t="n"/>
      <c r="Z13" s="113" t="n"/>
      <c r="AA13" s="112" t="n"/>
      <c r="AB13" s="113" t="n"/>
    </row>
    <row r="14" ht="24" customHeight="1">
      <c r="B14" s="120" t="inlineStr">
        <is>
          <t>ศุกร์</t>
        </is>
      </c>
      <c r="C14" s="6" t="n"/>
      <c r="D14" s="124" t="n"/>
      <c r="H14" s="124" t="n"/>
      <c r="L14" s="9" t="n"/>
      <c r="M14" s="124" t="n"/>
      <c r="Q14" s="124" t="n"/>
      <c r="U14" s="6" t="n"/>
      <c r="V14" s="9" t="n"/>
      <c r="W14" s="6" t="n"/>
      <c r="X14" s="9" t="n"/>
      <c r="Y14" s="125" t="n"/>
      <c r="AA14" s="125" t="n"/>
    </row>
    <row r="15" ht="24" customHeight="1">
      <c r="B15" s="126" t="n"/>
      <c r="C15" s="112" t="n"/>
      <c r="D15" s="129" t="n"/>
      <c r="H15" s="129" t="n"/>
      <c r="L15" s="113" t="n"/>
      <c r="M15" s="127" t="n"/>
      <c r="Q15" s="129" t="n"/>
      <c r="U15" s="112" t="n"/>
      <c r="V15" s="113" t="n"/>
      <c r="W15" s="112" t="n"/>
      <c r="X15" s="113" t="n"/>
      <c r="Y15" s="112" t="n"/>
      <c r="Z15" s="113" t="n"/>
      <c r="AA15" s="112" t="n"/>
      <c r="AB15" s="113" t="n"/>
    </row>
    <row r="16" ht="29.25" customHeight="1">
      <c r="B16" s="120" t="inlineStr">
        <is>
          <t>เสาร์</t>
        </is>
      </c>
      <c r="C16" s="6" t="n"/>
      <c r="D16" s="9" t="n"/>
      <c r="E16" s="6" t="n"/>
      <c r="F16" s="9" t="n"/>
      <c r="G16" s="6" t="n"/>
      <c r="H16" s="9" t="n"/>
      <c r="I16" s="6" t="n"/>
      <c r="J16" s="9" t="n"/>
      <c r="K16" s="6" t="n"/>
      <c r="L16" s="9" t="n"/>
      <c r="M16" s="6" t="n"/>
      <c r="N16" s="9" t="n"/>
      <c r="O16" s="6" t="n"/>
      <c r="P16" s="9" t="n"/>
      <c r="Q16" s="6" t="n"/>
      <c r="R16" s="9" t="n"/>
      <c r="S16" s="6" t="n"/>
      <c r="T16" s="9" t="n"/>
      <c r="U16" s="6" t="n"/>
      <c r="V16" s="9" t="n"/>
      <c r="W16" s="6" t="n"/>
      <c r="X16" s="9" t="n"/>
      <c r="Y16" s="6" t="n"/>
      <c r="Z16" s="9" t="n"/>
      <c r="AA16" s="6" t="n"/>
      <c r="AB16" s="9" t="n"/>
    </row>
    <row r="17" ht="29.25" customHeight="1">
      <c r="B17" s="126" t="n"/>
      <c r="C17" s="112" t="n"/>
      <c r="D17" s="113" t="n"/>
      <c r="E17" s="112" t="n"/>
      <c r="F17" s="113" t="n"/>
      <c r="G17" s="112" t="n"/>
      <c r="H17" s="113" t="n"/>
      <c r="I17" s="112" t="n"/>
      <c r="J17" s="113" t="n"/>
      <c r="K17" s="112" t="n"/>
      <c r="L17" s="113" t="n"/>
      <c r="M17" s="112" t="n"/>
      <c r="N17" s="113" t="n"/>
      <c r="O17" s="112" t="n"/>
      <c r="P17" s="113" t="n"/>
      <c r="Q17" s="112" t="n"/>
      <c r="R17" s="113" t="n"/>
      <c r="S17" s="112" t="n"/>
      <c r="T17" s="113" t="n"/>
      <c r="U17" s="112" t="n"/>
      <c r="V17" s="113" t="n"/>
      <c r="W17" s="112" t="n"/>
      <c r="X17" s="113" t="n"/>
      <c r="Y17" s="112" t="n"/>
      <c r="Z17" s="113" t="n"/>
      <c r="AA17" s="112" t="n"/>
      <c r="AB17" s="113" t="n"/>
    </row>
    <row r="18" ht="29.25" customHeight="1">
      <c r="B18" s="120" t="inlineStr">
        <is>
          <t>อาทิตย์</t>
        </is>
      </c>
      <c r="C18" s="6" t="n"/>
      <c r="D18" s="127" t="n"/>
      <c r="H18" s="129" t="n"/>
      <c r="L18" s="9" t="n"/>
      <c r="M18" s="6" t="n"/>
      <c r="N18" s="9" t="n"/>
      <c r="O18" s="6" t="n"/>
      <c r="P18" s="9" t="n"/>
      <c r="Q18" s="6" t="n"/>
      <c r="R18" s="9" t="n"/>
      <c r="S18" s="6" t="n"/>
      <c r="T18" s="9" t="n"/>
      <c r="U18" s="6" t="n"/>
      <c r="V18" s="9" t="n"/>
      <c r="W18" s="6" t="n"/>
      <c r="X18" s="9" t="n"/>
      <c r="Y18" s="6" t="n"/>
      <c r="Z18" s="9" t="n"/>
      <c r="AA18" s="6" t="n"/>
      <c r="AB18" s="9" t="n"/>
    </row>
    <row r="19" ht="29.25" customHeight="1">
      <c r="B19" s="126" t="n"/>
      <c r="C19" s="112" t="n"/>
      <c r="D19" s="113" t="n"/>
      <c r="E19" s="112" t="n"/>
      <c r="F19" s="113" t="n"/>
      <c r="G19" s="112" t="n"/>
      <c r="H19" s="113" t="n"/>
      <c r="I19" s="112" t="n"/>
      <c r="J19" s="113" t="n"/>
      <c r="K19" s="112" t="n"/>
      <c r="L19" s="113" t="n"/>
      <c r="M19" s="112" t="n"/>
      <c r="N19" s="113" t="n"/>
      <c r="O19" s="112" t="n"/>
      <c r="P19" s="113" t="n"/>
      <c r="Q19" s="112" t="n"/>
      <c r="R19" s="113" t="n"/>
      <c r="S19" s="112" t="n"/>
      <c r="T19" s="113" t="n"/>
      <c r="U19" s="112" t="n"/>
      <c r="V19" s="113" t="n"/>
      <c r="W19" s="112" t="n"/>
      <c r="X19" s="113" t="n"/>
      <c r="Y19" s="112" t="n"/>
      <c r="Z19" s="113" t="n"/>
      <c r="AA19" s="112" t="n"/>
      <c r="AB19" s="113" t="n"/>
    </row>
    <row r="20">
      <c r="B20" s="7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</row>
    <row r="21">
      <c r="B21" s="74" t="inlineStr">
        <is>
          <t>ลงชื่อ ...........................................................</t>
        </is>
      </c>
      <c r="H21" s="74" t="n"/>
      <c r="I21" s="74" t="n"/>
      <c r="R21" s="74" t="n"/>
    </row>
    <row r="22">
      <c r="B22" s="74">
        <f> "(" &amp; I3 &amp; ")"</f>
        <v/>
      </c>
      <c r="H22" s="74" t="n"/>
      <c r="I22" s="74" t="n"/>
      <c r="R22" s="74" t="n"/>
    </row>
    <row r="23">
      <c r="B23" s="104" t="inlineStr">
        <is>
          <t>นักศึกษา</t>
        </is>
      </c>
      <c r="I23" s="75" t="n"/>
      <c r="R23" s="107" t="n"/>
    </row>
    <row r="24">
      <c r="B24" s="104" t="n"/>
      <c r="C24" s="104" t="n"/>
      <c r="D24" s="104" t="n"/>
      <c r="E24" s="104" t="n"/>
      <c r="F24" s="104" t="n"/>
      <c r="G24" s="104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108" t="n"/>
    </row>
    <row r="25">
      <c r="B25" s="104" t="n"/>
      <c r="H25" s="74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</row>
  </sheetData>
  <mergeCells count="39">
    <mergeCell ref="Q4:R5"/>
    <mergeCell ref="R24:Z24"/>
    <mergeCell ref="B12:B13"/>
    <mergeCell ref="B18:B19"/>
    <mergeCell ref="B23:G23"/>
    <mergeCell ref="I22:Q22"/>
    <mergeCell ref="AA1:AB1"/>
    <mergeCell ref="B8:B9"/>
    <mergeCell ref="R21:Z21"/>
    <mergeCell ref="I21:Q21"/>
    <mergeCell ref="B14:B15"/>
    <mergeCell ref="G4:H5"/>
    <mergeCell ref="S4:T5"/>
    <mergeCell ref="I4:J5"/>
    <mergeCell ref="K4:L5"/>
    <mergeCell ref="U4:V5"/>
    <mergeCell ref="I23:Q23"/>
    <mergeCell ref="R22:Z22"/>
    <mergeCell ref="B10:B11"/>
    <mergeCell ref="B3:H3"/>
    <mergeCell ref="B6:B7"/>
    <mergeCell ref="M4:N5"/>
    <mergeCell ref="W4:X5"/>
    <mergeCell ref="Y4:Z5"/>
    <mergeCell ref="T3:V3"/>
    <mergeCell ref="R3:S3"/>
    <mergeCell ref="M3:N3"/>
    <mergeCell ref="R23:Z23"/>
    <mergeCell ref="O3:Q3"/>
    <mergeCell ref="B25:G25"/>
    <mergeCell ref="C4:D5"/>
    <mergeCell ref="O4:P5"/>
    <mergeCell ref="E4:F5"/>
    <mergeCell ref="B22:G22"/>
    <mergeCell ref="I3:L3"/>
    <mergeCell ref="B1:Z1"/>
    <mergeCell ref="B16:B17"/>
    <mergeCell ref="B21:G21"/>
    <mergeCell ref="AA4:AB5"/>
  </mergeCells>
  <pageMargins left="0.7" right="0.7" top="0.75" bottom="0.75" header="0.3" footer="0.3"/>
  <pageSetup orientation="landscape" scale="67"/>
  <rowBreaks count="1" manualBreakCount="1">
    <brk id="26" min="0" max="1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view="pageBreakPreview" topLeftCell="A11" zoomScale="115" zoomScaleNormal="99" zoomScaleSheetLayoutView="115" workbookViewId="0">
      <selection activeCell="D7" sqref="F7"/>
    </sheetView>
  </sheetViews>
  <sheetFormatPr baseColWidth="8" defaultColWidth="9" defaultRowHeight="19.5"/>
  <cols>
    <col width="5.42578125" customWidth="1" style="16" min="1" max="1"/>
    <col width="21" customWidth="1" style="54" min="2" max="2"/>
    <col width="7.85546875" customWidth="1" style="16" min="3" max="3"/>
    <col width="5.85546875" customWidth="1" style="16" min="4" max="4"/>
    <col width="10.140625" customWidth="1" style="16" min="5" max="5"/>
    <col width="10" customWidth="1" style="16" min="6" max="6"/>
    <col width="12.42578125" customWidth="1" style="16" min="7" max="7"/>
    <col width="8.5703125" customWidth="1" style="16" min="8" max="9"/>
    <col width="16.85546875" customWidth="1" style="16" min="10" max="10"/>
    <col width="9" customWidth="1" style="54" min="11" max="16384"/>
  </cols>
  <sheetData>
    <row r="1" ht="23.25" customFormat="1" customHeight="1" s="12">
      <c r="A1" s="73" t="inlineStr">
        <is>
          <t>แบบใบเบิกค่าตอบแทนผู้ช่วยสอนและผู้ช่วยปฏิบัติงาน</t>
        </is>
      </c>
    </row>
    <row r="2" ht="23.25" customFormat="1" customHeight="1" s="12">
      <c r="A2" s="73" t="inlineStr">
        <is>
          <t xml:space="preserve">วิทยาลัยการคอมพิวเตอร์  มหาวิทยาลัยขอนแก่น </t>
        </is>
      </c>
    </row>
    <row r="3" ht="23.25" customFormat="1" customHeight="1" s="12">
      <c r="A3" s="73" t="inlineStr">
        <is>
          <t>ภาคการศึกษา  ( / )  ต้น     (  )  ปลาย     (   )  ฤดูร้อน     ปีการศึกษา  2569</t>
        </is>
      </c>
    </row>
    <row r="4" ht="23.25" customFormat="1" customHeight="1" s="12">
      <c r="A4" s="73" t="n"/>
    </row>
    <row r="5" ht="23.25" customFormat="1" customHeight="1" s="12">
      <c r="A5" s="13" t="n"/>
      <c r="B5" s="73" t="inlineStr">
        <is>
          <t>รายวิชาระดับ</t>
        </is>
      </c>
      <c r="C5" s="18" t="inlineStr">
        <is>
          <t>( / )</t>
        </is>
      </c>
      <c r="D5" s="72" t="inlineStr">
        <is>
          <t>ปริญญาตรี</t>
        </is>
      </c>
      <c r="F5" s="18" t="inlineStr">
        <is>
          <t>(  )</t>
        </is>
      </c>
      <c r="G5" s="19" t="inlineStr">
        <is>
          <t>บัณฑิตศึกษา</t>
        </is>
      </c>
      <c r="H5" s="13" t="n"/>
      <c r="I5" s="13" t="inlineStr">
        <is>
          <t>รหัสวิชา</t>
        </is>
      </c>
      <c r="J5" s="72" t="n"/>
    </row>
    <row r="6" ht="23.25" customFormat="1" customHeight="1" s="12">
      <c r="A6" s="13" t="n"/>
      <c r="B6" s="73" t="n"/>
      <c r="C6" s="18" t="inlineStr">
        <is>
          <t>( / )</t>
        </is>
      </c>
      <c r="D6" s="72" t="inlineStr">
        <is>
          <t xml:space="preserve">ภาคปกติ  </t>
        </is>
      </c>
      <c r="F6" s="18" t="inlineStr">
        <is>
          <t>(  )</t>
        </is>
      </c>
      <c r="G6" s="19" t="inlineStr">
        <is>
          <t xml:space="preserve">โครงการพิเศษ  </t>
        </is>
      </c>
      <c r="H6" s="13" t="n"/>
      <c r="I6" s="13" t="n"/>
      <c r="J6" s="13" t="n"/>
    </row>
    <row r="7" ht="23.25" customFormat="1" customHeight="1" s="57">
      <c r="A7" s="64" t="inlineStr">
        <is>
          <t>ลำดับที่</t>
        </is>
      </c>
      <c r="B7" s="65" t="inlineStr">
        <is>
          <t>ชื่อ-สกุล</t>
        </is>
      </c>
      <c r="C7" s="65" t="inlineStr">
        <is>
          <t>ระดับ</t>
        </is>
      </c>
      <c r="D7" s="65" t="inlineStr">
        <is>
          <t>ระยะเวลาที่สอน</t>
        </is>
      </c>
      <c r="E7" s="130" t="n"/>
      <c r="F7" s="130" t="n"/>
      <c r="G7" s="131" t="n"/>
      <c r="H7" s="65" t="inlineStr">
        <is>
          <t>จำนวนชั่วโมงที่สอน</t>
        </is>
      </c>
      <c r="I7" s="131" t="n"/>
      <c r="J7" s="65" t="inlineStr">
        <is>
          <t>หมายเหตุ</t>
        </is>
      </c>
    </row>
    <row r="8" ht="23.25" customHeight="1">
      <c r="A8" s="126" t="n"/>
      <c r="B8" s="126" t="n"/>
      <c r="C8" s="126" t="n"/>
      <c r="D8" s="65" t="inlineStr">
        <is>
          <t>วัน</t>
        </is>
      </c>
      <c r="E8" s="65" t="inlineStr">
        <is>
          <t>ว/ด/ป</t>
        </is>
      </c>
      <c r="F8" s="65" t="inlineStr">
        <is>
          <t>กลุ่มเรียน</t>
        </is>
      </c>
      <c r="G8" s="65" t="inlineStr">
        <is>
          <t>เวลาสอน</t>
        </is>
      </c>
      <c r="H8" s="65" t="inlineStr">
        <is>
          <t>บรรยาย</t>
        </is>
      </c>
      <c r="I8" s="65" t="inlineStr">
        <is>
          <t>ปฏิบัติการ</t>
        </is>
      </c>
      <c r="J8" s="126" t="n"/>
    </row>
    <row r="9" ht="23.25" customHeight="1">
      <c r="A9" s="25" t="n">
        <v>1</v>
      </c>
      <c r="B9" s="25">
        <f>ตารางสอน!I$3</f>
        <v/>
      </c>
      <c r="C9" s="25">
        <f t="array" ref="C9">_xlfn.IFS(ตารางสอน!T$3="ปริญญาตรี","ป.ตรี",ตารางสอน!T$3="ปริญญาโท","ป.โท",ตารางสอน!T$3="ปริญญาเอก","ป.เอก")</f>
        <v/>
      </c>
      <c r="D9" s="25" t="n"/>
      <c r="E9" s="26" t="n"/>
      <c r="F9" s="25" t="n"/>
      <c r="G9" s="25" t="n"/>
      <c r="H9" s="27">
        <f>IF(OR(J9="เช็คชื่อ",J9="ตรวจงาน",J9="เช็คชื่อ (ชดเชย)"),
(TIMEVALUE(SUBSTITUTE(TRIM(_xlfn.TEXTAFTER(G9,"-")),".",":"))-
TIMEVALUE(SUBSTITUTE(TRIM(_xlfn.TEXTBEFORE(G9,"-")),".",":")))*24,
"")</f>
        <v/>
      </c>
      <c r="I9" s="27">
        <f>IF(OR(J9="สอนปฏิบัติ",J9="สอนปฏิบัติ (ชดเชย)",J9="เตรียมเอกสารปฏิบัติ"),
(TIMEVALUE(SUBSTITUTE(TRIM(_xlfn.TEXTAFTER(G9,"-")),".",":"))-
TIMEVALUE(SUBSTITUTE(TRIM(_xlfn.TEXTBEFORE(G9,"-")),".",":")))*24,
"")</f>
        <v/>
      </c>
      <c r="J9" s="25" t="n"/>
    </row>
    <row r="10" ht="23.25" customHeight="1">
      <c r="A10" s="28" t="n"/>
      <c r="B10" s="28" t="n"/>
      <c r="C10" s="28" t="n"/>
      <c r="D10" s="28" t="n"/>
      <c r="E10" s="29" t="n"/>
      <c r="F10" s="28" t="n"/>
      <c r="G10" s="28" t="n"/>
      <c r="H10" s="30">
        <f>IF(OR(J10="เช็คชื่อ",J10="ตรวจงาน",J10="เช็คชื่อ (ชดเชย)"),
(TIMEVALUE(SUBSTITUTE(TRIM(_xlfn.TEXTAFTER(G10,"-")),".",":"))-
TIMEVALUE(SUBSTITUTE(TRIM(_xlfn.TEXTBEFORE(G10,"-")),".",":")))*24,
"")</f>
        <v/>
      </c>
      <c r="I10" s="30">
        <f>IF(OR(J10="สอนปฏิบัติ",J10="สอนปฏิบัติ (ชดเชย)",J10="เตรียมเอกสารปฏิบัติ"),
(TIMEVALUE(SUBSTITUTE(TRIM(_xlfn.TEXTAFTER(G10,"-")),".",":"))-
TIMEVALUE(SUBSTITUTE(TRIM(_xlfn.TEXTBEFORE(G10,"-")),".",":")))*24,
"")</f>
        <v/>
      </c>
      <c r="J10" s="28" t="n"/>
    </row>
    <row r="11" ht="23.25" customHeight="1">
      <c r="A11" s="28" t="n"/>
      <c r="B11" s="28" t="n"/>
      <c r="C11" s="28" t="n"/>
      <c r="D11" s="28" t="n"/>
      <c r="E11" s="29" t="n"/>
      <c r="F11" s="28" t="n"/>
      <c r="G11" s="28" t="n"/>
      <c r="H11" s="30">
        <f>IF(OR(J11="เช็คชื่อ",J11="ตรวจงาน",J11="เช็คชื่อ (ชดเชย)"),
(TIMEVALUE(SUBSTITUTE(TRIM(_xlfn.TEXTAFTER(G11,"-")),".",":"))-
TIMEVALUE(SUBSTITUTE(TRIM(_xlfn.TEXTBEFORE(G11,"-")),".",":")))*24,
"")</f>
        <v/>
      </c>
      <c r="I11" s="30">
        <f>IF(OR(J11="สอนปฏิบัติ",J11="สอนปฏิบัติ (ชดเชย)",J11="เตรียมเอกสารปฏิบัติ"),
(TIMEVALUE(SUBSTITUTE(TRIM(_xlfn.TEXTAFTER(G11,"-")),".",":"))-
TIMEVALUE(SUBSTITUTE(TRIM(_xlfn.TEXTBEFORE(G11,"-")),".",":")))*24,
"")</f>
        <v/>
      </c>
      <c r="J11" s="28" t="n"/>
    </row>
    <row r="12" ht="23.25" customHeight="1">
      <c r="A12" s="28" t="n"/>
      <c r="B12" s="28" t="n"/>
      <c r="C12" s="28" t="n"/>
      <c r="D12" s="28" t="n"/>
      <c r="E12" s="29" t="n"/>
      <c r="F12" s="28" t="n"/>
      <c r="G12" s="28" t="n"/>
      <c r="H12" s="30">
        <f>IF(OR(J12="เช็คชื่อ",J12="ตรวจงาน",J12="เช็คชื่อ (ชดเชย)"),
(TIMEVALUE(SUBSTITUTE(TRIM(_xlfn.TEXTAFTER(G12,"-")),".",":"))-
TIMEVALUE(SUBSTITUTE(TRIM(_xlfn.TEXTBEFORE(G12,"-")),".",":")))*24,
"")</f>
        <v/>
      </c>
      <c r="I12" s="30">
        <f>IF(OR(J12="สอนปฏิบัติ",J12="สอนปฏิบัติ (ชดเชย)",J12="เตรียมเอกสารปฏิบัติ"),
(TIMEVALUE(SUBSTITUTE(TRIM(_xlfn.TEXTAFTER(G12,"-")),".",":"))-
TIMEVALUE(SUBSTITUTE(TRIM(_xlfn.TEXTBEFORE(G12,"-")),".",":")))*24,
"")</f>
        <v/>
      </c>
      <c r="J12" s="28" t="n"/>
    </row>
    <row r="13" ht="23.25" customHeight="1">
      <c r="A13" s="28" t="n"/>
      <c r="B13" s="28" t="n"/>
      <c r="C13" s="28" t="n"/>
      <c r="D13" s="28" t="n"/>
      <c r="E13" s="29" t="n"/>
      <c r="F13" s="28" t="n"/>
      <c r="G13" s="28" t="n"/>
      <c r="H13" s="30">
        <f>IF(OR(J13="เช็คชื่อ",J13="ตรวจงาน",J13="เช็คชื่อ (ชดเชย)"),
(TIMEVALUE(SUBSTITUTE(TRIM(_xlfn.TEXTAFTER(G13,"-")),".",":"))-
TIMEVALUE(SUBSTITUTE(TRIM(_xlfn.TEXTBEFORE(G13,"-")),".",":")))*24,
"")</f>
        <v/>
      </c>
      <c r="I13" s="30">
        <f>IF(OR(J13="สอนปฏิบัติ",J13="สอนปฏิบัติ (ชดเชย)",J13="เตรียมเอกสารปฏิบัติ"),
(TIMEVALUE(SUBSTITUTE(TRIM(_xlfn.TEXTAFTER(G13,"-")),".",":"))-
TIMEVALUE(SUBSTITUTE(TRIM(_xlfn.TEXTBEFORE(G13,"-")),".",":")))*24,
"")</f>
        <v/>
      </c>
      <c r="J13" s="28" t="n"/>
    </row>
    <row r="14" ht="23.25" customHeight="1">
      <c r="A14" s="28" t="n"/>
      <c r="B14" s="28" t="n"/>
      <c r="C14" s="28" t="n"/>
      <c r="D14" s="28" t="n"/>
      <c r="E14" s="29" t="n"/>
      <c r="F14" s="28" t="n"/>
      <c r="G14" s="28" t="n"/>
      <c r="H14" s="30">
        <f>IF(OR(J14="เช็คชื่อ",J14="ตรวจงาน",J14="เช็คชื่อ (ชดเชย)"),
(TIMEVALUE(SUBSTITUTE(TRIM(_xlfn.TEXTAFTER(G14,"-")),".",":"))-
TIMEVALUE(SUBSTITUTE(TRIM(_xlfn.TEXTBEFORE(G14,"-")),".",":")))*24,
"")</f>
        <v/>
      </c>
      <c r="I14" s="30">
        <f>IF(OR(J14="สอนปฏิบัติ",J14="สอนปฏิบัติ (ชดเชย)",J14="เตรียมเอกสารปฏิบัติ"),
(TIMEVALUE(SUBSTITUTE(TRIM(_xlfn.TEXTAFTER(G14,"-")),".",":"))-
TIMEVALUE(SUBSTITUTE(TRIM(_xlfn.TEXTBEFORE(G14,"-")),".",":")))*24,
"")</f>
        <v/>
      </c>
      <c r="J14" s="28" t="n"/>
    </row>
    <row r="15" ht="23.25" customHeight="1">
      <c r="A15" s="28" t="n"/>
      <c r="B15" s="28" t="n"/>
      <c r="C15" s="28" t="n"/>
      <c r="D15" s="28" t="n"/>
      <c r="E15" s="29" t="n"/>
      <c r="F15" s="28" t="n"/>
      <c r="G15" s="28" t="n"/>
      <c r="H15" s="30">
        <f>IF(OR(J15="เช็คชื่อ",J15="ตรวจงาน",J15="เช็คชื่อ (ชดเชย)"),
(TIMEVALUE(SUBSTITUTE(TRIM(_xlfn.TEXTAFTER(G15,"-")),".",":"))-
TIMEVALUE(SUBSTITUTE(TRIM(_xlfn.TEXTBEFORE(G15,"-")),".",":")))*24,
"")</f>
        <v/>
      </c>
      <c r="I15" s="30">
        <f>IF(OR(J15="สอนปฏิบัติ",J15="สอนปฏิบัติ (ชดเชย)",J15="เตรียมเอกสารปฏิบัติ"),
(TIMEVALUE(SUBSTITUTE(TRIM(_xlfn.TEXTAFTER(G15,"-")),".",":"))-
TIMEVALUE(SUBSTITUTE(TRIM(_xlfn.TEXTBEFORE(G15,"-")),".",":")))*24,
"")</f>
        <v/>
      </c>
      <c r="J15" s="28" t="n"/>
    </row>
    <row r="16" ht="23.25" customHeight="1">
      <c r="A16" s="28" t="n"/>
      <c r="B16" s="28" t="n"/>
      <c r="C16" s="28" t="n"/>
      <c r="D16" s="28" t="n"/>
      <c r="E16" s="29" t="n"/>
      <c r="F16" s="28" t="n"/>
      <c r="G16" s="28" t="n"/>
      <c r="H16" s="30">
        <f>IF(OR(J16="เช็คชื่อ",J16="ตรวจงาน",J16="เช็คชื่อ (ชดเชย)"),
(TIMEVALUE(SUBSTITUTE(TRIM(_xlfn.TEXTAFTER(G16,"-")),".",":"))-
TIMEVALUE(SUBSTITUTE(TRIM(_xlfn.TEXTBEFORE(G16,"-")),".",":")))*24,
"")</f>
        <v/>
      </c>
      <c r="I16" s="30">
        <f>IF(OR(J16="สอนปฏิบัติ",J16="สอนปฏิบัติ (ชดเชย)",J16="เตรียมเอกสารปฏิบัติ"),
(TIMEVALUE(SUBSTITUTE(TRIM(_xlfn.TEXTAFTER(G16,"-")),".",":"))-
TIMEVALUE(SUBSTITUTE(TRIM(_xlfn.TEXTBEFORE(G16,"-")),".",":")))*24,
"")</f>
        <v/>
      </c>
      <c r="J16" s="28" t="n"/>
    </row>
    <row r="17" ht="23.25" customHeight="1">
      <c r="A17" s="28" t="n"/>
      <c r="B17" s="28" t="n"/>
      <c r="C17" s="28" t="n"/>
      <c r="D17" s="28" t="n"/>
      <c r="E17" s="29" t="n"/>
      <c r="F17" s="28" t="n"/>
      <c r="G17" s="28" t="n"/>
      <c r="H17" s="30">
        <f>IF(OR(J17="เช็คชื่อ",J17="ตรวจงาน",J17="เช็คชื่อ (ชดเชย)"),
(TIMEVALUE(SUBSTITUTE(TRIM(_xlfn.TEXTAFTER(G17,"-")),".",":"))-
TIMEVALUE(SUBSTITUTE(TRIM(_xlfn.TEXTBEFORE(G17,"-")),".",":")))*24,
"")</f>
        <v/>
      </c>
      <c r="I17" s="30">
        <f>IF(OR(J17="สอนปฏิบัติ",J17="สอนปฏิบัติ (ชดเชย)",J17="เตรียมเอกสารปฏิบัติ"),
(TIMEVALUE(SUBSTITUTE(TRIM(_xlfn.TEXTAFTER(G17,"-")),".",":"))-
TIMEVALUE(SUBSTITUTE(TRIM(_xlfn.TEXTBEFORE(G17,"-")),".",":")))*24,
"")</f>
        <v/>
      </c>
      <c r="J17" s="28" t="n"/>
    </row>
    <row r="18" ht="23.25" customHeight="1">
      <c r="A18" s="28" t="n"/>
      <c r="B18" s="28" t="n"/>
      <c r="C18" s="28" t="n"/>
      <c r="D18" s="28" t="n"/>
      <c r="E18" s="29" t="n"/>
      <c r="F18" s="28" t="n"/>
      <c r="G18" s="28" t="n"/>
      <c r="H18" s="30">
        <f>IF(OR(J18="เช็คชื่อ",J18="ตรวจงาน",J18="เช็คชื่อ (ชดเชย)"),
(TIMEVALUE(SUBSTITUTE(TRIM(_xlfn.TEXTAFTER(G18,"-")),".",":"))-
TIMEVALUE(SUBSTITUTE(TRIM(_xlfn.TEXTBEFORE(G18,"-")),".",":")))*24,
"")</f>
        <v/>
      </c>
      <c r="I18" s="30">
        <f>IF(OR(J18="สอนปฏิบัติ",J18="สอนปฏิบัติ (ชดเชย)",J18="เตรียมเอกสารปฏิบัติ"),
(TIMEVALUE(SUBSTITUTE(TRIM(_xlfn.TEXTAFTER(G18,"-")),".",":"))-
TIMEVALUE(SUBSTITUTE(TRIM(_xlfn.TEXTBEFORE(G18,"-")),".",":")))*24,
"")</f>
        <v/>
      </c>
      <c r="J18" s="28" t="n"/>
    </row>
    <row r="19" ht="23.25" customHeight="1">
      <c r="A19" s="28" t="n"/>
      <c r="B19" s="28" t="n"/>
      <c r="C19" s="28" t="n"/>
      <c r="D19" s="28" t="n"/>
      <c r="E19" s="29" t="n"/>
      <c r="F19" s="28" t="n"/>
      <c r="G19" s="28" t="n"/>
      <c r="H19" s="30">
        <f>IF(OR(J19="เช็คชื่อ",J19="ตรวจงาน",J19="เช็คชื่อ (ชดเชย)"),
(TIMEVALUE(SUBSTITUTE(TRIM(_xlfn.TEXTAFTER(G19,"-")),".",":"))-
TIMEVALUE(SUBSTITUTE(TRIM(_xlfn.TEXTBEFORE(G19,"-")),".",":")))*24,
"")</f>
        <v/>
      </c>
      <c r="I19" s="30">
        <f>IF(OR(J19="สอนปฏิบัติ",J19="สอนปฏิบัติ (ชดเชย)",J19="เตรียมเอกสารปฏิบัติ"),
(TIMEVALUE(SUBSTITUTE(TRIM(_xlfn.TEXTAFTER(G19,"-")),".",":"))-
TIMEVALUE(SUBSTITUTE(TRIM(_xlfn.TEXTBEFORE(G19,"-")),".",":")))*24,
"")</f>
        <v/>
      </c>
      <c r="J19" s="28" t="n"/>
    </row>
    <row r="20" ht="23.25" customHeight="1">
      <c r="A20" s="28" t="n"/>
      <c r="B20" s="28" t="n"/>
      <c r="C20" s="28" t="n"/>
      <c r="D20" s="28" t="n"/>
      <c r="E20" s="29" t="n"/>
      <c r="F20" s="28" t="n"/>
      <c r="G20" s="28" t="n"/>
      <c r="H20" s="30">
        <f>IF(OR(J20="เช็คชื่อ",J20="ตรวจงาน",J20="เช็คชื่อ (ชดเชย)"),
(TIMEVALUE(SUBSTITUTE(TRIM(_xlfn.TEXTAFTER(G20,"-")),".",":"))-
TIMEVALUE(SUBSTITUTE(TRIM(_xlfn.TEXTBEFORE(G20,"-")),".",":")))*24,
"")</f>
        <v/>
      </c>
      <c r="I20" s="30">
        <f>IF(OR(J20="สอนปฏิบัติ",J20="สอนปฏิบัติ (ชดเชย)",J20="เตรียมเอกสารปฏิบัติ"),
(TIMEVALUE(SUBSTITUTE(TRIM(_xlfn.TEXTAFTER(G20,"-")),".",":"))-
TIMEVALUE(SUBSTITUTE(TRIM(_xlfn.TEXTBEFORE(G20,"-")),".",":")))*24,
"")</f>
        <v/>
      </c>
      <c r="J20" s="28" t="n"/>
    </row>
    <row r="21" ht="23.25" customHeight="1">
      <c r="A21" s="28" t="n"/>
      <c r="B21" s="28" t="n"/>
      <c r="C21" s="28" t="n"/>
      <c r="D21" s="28" t="n"/>
      <c r="E21" s="29" t="n"/>
      <c r="F21" s="28" t="n"/>
      <c r="G21" s="28" t="n"/>
      <c r="H21" s="30">
        <f>IF(OR(J21="เช็คชื่อ",J21="ตรวจงาน",J21="เช็คชื่อ (ชดเชย)"),
(TIMEVALUE(SUBSTITUTE(TRIM(_xlfn.TEXTAFTER(G21,"-")),".",":"))-
TIMEVALUE(SUBSTITUTE(TRIM(_xlfn.TEXTBEFORE(G21,"-")),".",":")))*24,
"")</f>
        <v/>
      </c>
      <c r="I21" s="30">
        <f>IF(OR(J21="สอนปฏิบัติ",J21="สอนปฏิบัติ (ชดเชย)",J21="เตรียมเอกสารปฏิบัติ"),
(TIMEVALUE(SUBSTITUTE(TRIM(_xlfn.TEXTAFTER(G21,"-")),".",":"))-
TIMEVALUE(SUBSTITUTE(TRIM(_xlfn.TEXTBEFORE(G21,"-")),".",":")))*24,
"")</f>
        <v/>
      </c>
      <c r="J21" s="28" t="n"/>
    </row>
    <row r="22" ht="23.25" customHeight="1">
      <c r="A22" s="40" t="n"/>
      <c r="B22" s="40" t="n"/>
      <c r="C22" s="40" t="n"/>
      <c r="D22" s="40" t="n"/>
      <c r="E22" s="41" t="n"/>
      <c r="F22" s="40" t="n"/>
      <c r="G22" s="40" t="n"/>
      <c r="H22" s="42">
        <f>IF(OR(J22="เช็คชื่อ",J22="ตรวจงาน",J22="เช็คชื่อ (ชดเชย)"),
(TIMEVALUE(SUBSTITUTE(TRIM(_xlfn.TEXTAFTER(G22,"-")),".",":"))-
TIMEVALUE(SUBSTITUTE(TRIM(_xlfn.TEXTBEFORE(G22,"-")),".",":")))*24,
"")</f>
        <v/>
      </c>
      <c r="I22" s="42">
        <f>IF(OR(J22="สอนปฏิบัติ",J22="สอนปฏิบัติ (ชดเชย)",J22="เตรียมเอกสารปฏิบัติ"),
(TIMEVALUE(SUBSTITUTE(TRIM(_xlfn.TEXTAFTER(G22,"-")),".",":"))-
TIMEVALUE(SUBSTITUTE(TRIM(_xlfn.TEXTBEFORE(G22,"-")),".",":")))*24,
"")</f>
        <v/>
      </c>
      <c r="J22" s="40" t="n"/>
    </row>
    <row r="23" ht="23.25" customHeight="1">
      <c r="A23" s="31" t="n"/>
      <c r="B23" s="31" t="n"/>
      <c r="C23" s="31" t="n"/>
      <c r="D23" s="31" t="n"/>
      <c r="E23" s="32" t="n"/>
      <c r="F23" s="31" t="n"/>
      <c r="G23" s="31" t="n"/>
      <c r="H23" s="33">
        <f>IF(OR(J23="เช็คชื่อ",J23="ตรวจงาน",J23="เช็คชื่อ (ชดเชย)"),
(TIMEVALUE(SUBSTITUTE(TRIM(_xlfn.TEXTAFTER(G23,"-")),".",":"))-
TIMEVALUE(SUBSTITUTE(TRIM(_xlfn.TEXTBEFORE(G23,"-")),".",":")))*24,
"")</f>
        <v/>
      </c>
      <c r="I23" s="33">
        <f>IF(OR(J23="สอนปฏิบัติ",J23="สอนปฏิบัติ (ชดเชย)",J23="เตรียมเอกสารปฏิบัติ"),
(TIMEVALUE(SUBSTITUTE(TRIM(_xlfn.TEXTAFTER(G23,"-")),".",":"))-
TIMEVALUE(SUBSTITUTE(TRIM(_xlfn.TEXTBEFORE(G23,"-")),".",":")))*24,
"")</f>
        <v/>
      </c>
      <c r="J23" s="31" t="n"/>
    </row>
    <row r="24" ht="23.25" customHeight="1">
      <c r="B24" s="16" t="n"/>
      <c r="C24" s="66" t="inlineStr">
        <is>
          <t>รวมเวลาที่สอน</t>
        </is>
      </c>
      <c r="D24" s="68" t="inlineStr">
        <is>
          <t>ปริญญาตรี</t>
        </is>
      </c>
      <c r="E24" s="119" t="n"/>
      <c r="F24" s="119" t="n"/>
      <c r="G24" s="123" t="n"/>
      <c r="H24" s="34">
        <f>IF(C9="ป.ตรี", SUM(H9:H23),"")</f>
        <v/>
      </c>
      <c r="I24" s="34">
        <f>IF(C9="ป.ตรี", SUM(I9:I23),"")</f>
        <v/>
      </c>
      <c r="J24" s="68" t="n"/>
    </row>
    <row r="25" ht="23.25" customHeight="1">
      <c r="B25" s="16" t="n"/>
      <c r="C25" s="126" t="n"/>
      <c r="D25" s="69" t="inlineStr">
        <is>
          <t>ปริญญาโท/เอก</t>
        </is>
      </c>
      <c r="E25" s="130" t="n"/>
      <c r="F25" s="130" t="n"/>
      <c r="G25" s="131" t="n"/>
      <c r="H25" s="24">
        <f>IF(OR(C9="ป.โท", C9="ป.เอก"), SUM(H9:H23),"")</f>
        <v/>
      </c>
      <c r="I25" s="24">
        <f>IF(OR(C9="ป.โท", C9="ป.เอก"), SUM(I9:I23),"")</f>
        <v/>
      </c>
      <c r="J25" s="69" t="n"/>
    </row>
    <row r="26" ht="23.25" customHeight="1">
      <c r="A26" s="70" t="inlineStr">
        <is>
          <t xml:space="preserve">จำนวนเงินที่ขอเบิก </t>
        </is>
      </c>
    </row>
    <row r="27" ht="23.25" customHeight="1">
      <c r="B27" s="35" t="inlineStr">
        <is>
          <t>- ปริญญาตรี  (ภาคปกติ)</t>
        </is>
      </c>
      <c r="C27" s="36">
        <f>IF(C9="ป.ตรี", SUM(H24:I25),"-")</f>
        <v/>
      </c>
      <c r="D27" s="16" t="inlineStr">
        <is>
          <t>ชั่วโมง</t>
        </is>
      </c>
      <c r="E27" s="16" t="inlineStr">
        <is>
          <t>อัตราชั่วโมงละ</t>
        </is>
      </c>
      <c r="F27" s="16" t="n">
        <v>40</v>
      </c>
      <c r="G27" s="70" t="inlineStr">
        <is>
          <t>บาท</t>
        </is>
      </c>
    </row>
    <row r="28" ht="23.25" customHeight="1">
      <c r="B28" s="35" t="inlineStr">
        <is>
          <t>- ปริญญาตรี  (โครงการพิเศษ)</t>
        </is>
      </c>
      <c r="C28" s="36" t="inlineStr">
        <is>
          <t>-</t>
        </is>
      </c>
      <c r="D28" s="16" t="inlineStr">
        <is>
          <t>ชั่วโมง</t>
        </is>
      </c>
      <c r="E28" s="16" t="inlineStr">
        <is>
          <t>อัตราชั่วโมงละ</t>
        </is>
      </c>
      <c r="F28" s="16" t="n">
        <v>50</v>
      </c>
      <c r="G28" s="70" t="inlineStr">
        <is>
          <t>บาท</t>
        </is>
      </c>
    </row>
    <row r="29" ht="23.25" customHeight="1">
      <c r="B29" s="35" t="inlineStr">
        <is>
          <t>- ปริญญาโท/เอก  (ภาคปกติ)</t>
        </is>
      </c>
      <c r="C29" s="36">
        <f>IF(OR(C9="ป.โท", C9="ป.เอก"), SUM(H24:I25),"-")</f>
        <v/>
      </c>
      <c r="D29" s="16" t="inlineStr">
        <is>
          <t>ชั่วโมง</t>
        </is>
      </c>
      <c r="E29" s="16" t="inlineStr">
        <is>
          <t>อัตราชั่วโมงละ</t>
        </is>
      </c>
      <c r="F29" s="16" t="n">
        <v>50</v>
      </c>
      <c r="G29" s="70" t="inlineStr">
        <is>
          <t>บาท</t>
        </is>
      </c>
    </row>
    <row r="30" ht="23.25" customHeight="1">
      <c r="B30" s="35" t="inlineStr">
        <is>
          <t>- ปริญญาโท/เอก  (ภาคพิเศษ)</t>
        </is>
      </c>
      <c r="C30" s="16" t="inlineStr">
        <is>
          <t>-</t>
        </is>
      </c>
      <c r="G30" s="70" t="n"/>
    </row>
    <row r="31" ht="23.25" customHeight="1">
      <c r="A31" s="71" t="n"/>
      <c r="B31" s="130" t="n"/>
      <c r="C31" s="130" t="n"/>
      <c r="D31" s="130" t="n"/>
      <c r="E31" s="130" t="n"/>
      <c r="F31" s="130" t="n"/>
      <c r="G31" s="130" t="n"/>
      <c r="H31" s="130" t="n"/>
      <c r="I31" s="130" t="n"/>
      <c r="J31" s="131" t="n"/>
    </row>
    <row r="32" ht="23.25" customHeight="1">
      <c r="A32" s="63" t="n"/>
      <c r="B32" s="130" t="n"/>
      <c r="C32" s="130" t="n"/>
      <c r="D32" s="130" t="n"/>
      <c r="E32" s="130" t="n"/>
      <c r="F32" s="130" t="n"/>
      <c r="G32" s="130" t="n"/>
      <c r="H32" s="130" t="n"/>
      <c r="I32" s="130" t="n"/>
      <c r="J32" s="131" t="n"/>
    </row>
    <row r="33" ht="23.25" customHeight="1">
      <c r="A33" s="132" t="inlineStr">
        <is>
          <t>ผู้ปฏิบัติงาน</t>
        </is>
      </c>
      <c r="B33" s="133" t="n"/>
      <c r="C33" s="134" t="n"/>
      <c r="D33" s="62" t="n"/>
      <c r="E33" s="135" t="inlineStr">
        <is>
          <t>อาจารย์ผู้สอน</t>
        </is>
      </c>
      <c r="F33" s="133" t="n"/>
      <c r="G33" s="134" t="n"/>
      <c r="H33" s="132" t="inlineStr">
        <is>
          <t>ผู้รับรอง</t>
        </is>
      </c>
      <c r="I33" s="133" t="n"/>
      <c r="J33" s="134" t="n"/>
    </row>
    <row r="34" ht="23.25" customHeight="1">
      <c r="A34" s="38" t="n"/>
      <c r="B34" s="73" t="n"/>
      <c r="C34" s="39" t="n"/>
      <c r="D34" s="73" t="n"/>
      <c r="E34" s="73" t="n"/>
      <c r="F34" s="73" t="n"/>
      <c r="G34" s="73" t="n"/>
      <c r="H34" s="38" t="n"/>
      <c r="I34" s="73" t="n"/>
      <c r="J34" s="39" t="n"/>
    </row>
    <row r="35" ht="23.25" customHeight="1">
      <c r="A35" s="136" t="inlineStr">
        <is>
          <t>ลงชื่อ…………....…...……………….....…</t>
        </is>
      </c>
      <c r="C35" s="137" t="n"/>
      <c r="D35" s="136" t="inlineStr">
        <is>
          <t>ลงชื่อ…………..............……………………</t>
        </is>
      </c>
      <c r="G35" s="137" t="n"/>
      <c r="H35" s="58" t="inlineStr">
        <is>
          <t>ลงชื่อ…………....………….........…………</t>
        </is>
      </c>
      <c r="J35" s="137" t="n"/>
    </row>
    <row r="36" ht="23.25" customHeight="1">
      <c r="A36" s="138">
        <f>ตารางสอน!B22</f>
        <v/>
      </c>
      <c r="C36" s="137" t="n"/>
      <c r="D36" s="136" t="n"/>
      <c r="G36" s="137" t="n"/>
      <c r="H36" s="58" t="n"/>
      <c r="J36" s="137" t="n"/>
    </row>
    <row r="37" ht="23.25" customHeight="1">
      <c r="A37" s="136" t="inlineStr">
        <is>
          <t>วันที่….เดือน…………..…พ.ศ…..……</t>
        </is>
      </c>
      <c r="C37" s="137" t="n"/>
      <c r="D37" s="136" t="inlineStr">
        <is>
          <t>วันที่….เดือน…………..…พ.ศ…..……</t>
        </is>
      </c>
      <c r="G37" s="137" t="n"/>
      <c r="H37" s="58" t="inlineStr">
        <is>
          <t>ตำแหน่ง หัวหน้าสาขาวิชาวิทยาการคอมพิวเตอร์</t>
        </is>
      </c>
      <c r="J37" s="137" t="n"/>
    </row>
    <row r="38" ht="23.25" customHeight="1">
      <c r="A38" s="139" t="n"/>
      <c r="B38" s="133" t="n"/>
      <c r="C38" s="134" t="n"/>
      <c r="D38" s="139" t="n"/>
      <c r="E38" s="133" t="n"/>
      <c r="F38" s="133" t="n"/>
      <c r="G38" s="134" t="n"/>
      <c r="H38" s="139" t="inlineStr">
        <is>
          <t>วันที่……เดือน.………..…พ.ศ…..…</t>
        </is>
      </c>
      <c r="I38" s="133" t="n"/>
      <c r="J38" s="134" t="n"/>
    </row>
  </sheetData>
  <mergeCells count="33">
    <mergeCell ref="A32:J32"/>
    <mergeCell ref="H36:J36"/>
    <mergeCell ref="A37:C37"/>
    <mergeCell ref="D25:G25"/>
    <mergeCell ref="D24:G24"/>
    <mergeCell ref="A7:A8"/>
    <mergeCell ref="A4:J4"/>
    <mergeCell ref="C24:C25"/>
    <mergeCell ref="D38:G38"/>
    <mergeCell ref="D6:E6"/>
    <mergeCell ref="A33:C33"/>
    <mergeCell ref="A31:J31"/>
    <mergeCell ref="D35:G35"/>
    <mergeCell ref="H37:J37"/>
    <mergeCell ref="J7:J8"/>
    <mergeCell ref="A35:C35"/>
    <mergeCell ref="A38:C38"/>
    <mergeCell ref="H33:J33"/>
    <mergeCell ref="A26:B26"/>
    <mergeCell ref="A1:J1"/>
    <mergeCell ref="D36:G36"/>
    <mergeCell ref="H7:I7"/>
    <mergeCell ref="C7:C8"/>
    <mergeCell ref="H35:J35"/>
    <mergeCell ref="H38:J38"/>
    <mergeCell ref="A36:C36"/>
    <mergeCell ref="E33:G33"/>
    <mergeCell ref="A3:J3"/>
    <mergeCell ref="D5:E5"/>
    <mergeCell ref="D7:G7"/>
    <mergeCell ref="B7:B8"/>
    <mergeCell ref="A2:J2"/>
    <mergeCell ref="D37:G37"/>
  </mergeCells>
  <pageMargins left="0.95" right="0.7" top="0.75" bottom="0.75" header="0.3" footer="0.3"/>
  <pageSetup orientation="portrait" scale="7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tabSelected="1" view="pageBreakPreview" topLeftCell="A11" zoomScale="115" zoomScaleNormal="99" zoomScaleSheetLayoutView="115" workbookViewId="0">
      <selection activeCell="E23" sqref="E23"/>
    </sheetView>
  </sheetViews>
  <sheetFormatPr baseColWidth="8" defaultColWidth="9" defaultRowHeight="19.5"/>
  <cols>
    <col width="5.42578125" customWidth="1" style="16" min="1" max="1"/>
    <col width="21" customWidth="1" style="54" min="2" max="2"/>
    <col width="7.85546875" customWidth="1" style="16" min="3" max="3"/>
    <col width="5.85546875" customWidth="1" style="16" min="4" max="4"/>
    <col width="10.140625" customWidth="1" style="16" min="5" max="5"/>
    <col width="10" customWidth="1" style="16" min="6" max="6"/>
    <col width="12.42578125" customWidth="1" style="16" min="7" max="7"/>
    <col width="8.5703125" customWidth="1" style="16" min="8" max="9"/>
    <col width="16.85546875" customWidth="1" style="16" min="10" max="10"/>
    <col width="9" customWidth="1" style="54" min="11" max="16384"/>
  </cols>
  <sheetData>
    <row r="1" ht="23.25" customFormat="1" customHeight="1" s="12">
      <c r="A1" s="73" t="inlineStr">
        <is>
          <t>แบบใบเบิกค่าตอบแทนผู้ช่วยสอนและผู้ช่วยปฏิบัติงาน</t>
        </is>
      </c>
    </row>
    <row r="2" ht="23.25" customFormat="1" customHeight="1" s="12">
      <c r="A2" s="73" t="inlineStr">
        <is>
          <t xml:space="preserve">วิทยาลัยการคอมพิวเตอร์  มหาวิทยาลัยขอนแก่น </t>
        </is>
      </c>
    </row>
    <row r="3" ht="23.25" customFormat="1" customHeight="1" s="12">
      <c r="A3" s="73">
        <f>ภาคปกติ!A3</f>
        <v/>
      </c>
    </row>
    <row r="4" ht="23.25" customFormat="1" customHeight="1" s="12">
      <c r="A4" s="73">
        <f>ภาคปกติ!A4</f>
        <v/>
      </c>
    </row>
    <row r="5" ht="23.25" customFormat="1" customHeight="1" s="12">
      <c r="A5" s="13" t="n"/>
      <c r="B5" s="73" t="inlineStr">
        <is>
          <t>รายวิชาระดับ</t>
        </is>
      </c>
      <c r="C5" s="18" t="inlineStr">
        <is>
          <t>( / )</t>
        </is>
      </c>
      <c r="D5" s="72" t="inlineStr">
        <is>
          <t>ปริญญาตรี</t>
        </is>
      </c>
      <c r="F5" s="18" t="inlineStr">
        <is>
          <t>(  )</t>
        </is>
      </c>
      <c r="G5" s="19" t="inlineStr">
        <is>
          <t>บัณฑิตศึกษา</t>
        </is>
      </c>
      <c r="H5" s="13" t="n"/>
      <c r="I5" s="13" t="inlineStr">
        <is>
          <t>รหัสวิชา</t>
        </is>
      </c>
      <c r="J5" s="72">
        <f>ภาคปกติ!J5</f>
        <v/>
      </c>
    </row>
    <row r="6" ht="23.25" customFormat="1" customHeight="1" s="12">
      <c r="A6" s="13" t="n"/>
      <c r="B6" s="73" t="n"/>
      <c r="C6" s="18" t="inlineStr">
        <is>
          <t>(  )</t>
        </is>
      </c>
      <c r="D6" s="72" t="inlineStr">
        <is>
          <t xml:space="preserve">ภาคปกติ  </t>
        </is>
      </c>
      <c r="F6" s="18" t="inlineStr">
        <is>
          <t>( / )</t>
        </is>
      </c>
      <c r="G6" s="19" t="inlineStr">
        <is>
          <t xml:space="preserve">โครงการพิเศษ  </t>
        </is>
      </c>
      <c r="H6" s="13" t="n"/>
      <c r="I6" s="13" t="n"/>
      <c r="J6" s="13" t="n"/>
    </row>
    <row r="7" ht="23.25" customFormat="1" customHeight="1" s="57">
      <c r="A7" s="64" t="inlineStr">
        <is>
          <t>ลำดับที่</t>
        </is>
      </c>
      <c r="B7" s="65" t="inlineStr">
        <is>
          <t>ชื่อ-สกุล</t>
        </is>
      </c>
      <c r="C7" s="65" t="inlineStr">
        <is>
          <t>ระดับ</t>
        </is>
      </c>
      <c r="D7" s="65" t="inlineStr">
        <is>
          <t>ระยะเวลาที่สอน</t>
        </is>
      </c>
      <c r="E7" s="130" t="n"/>
      <c r="F7" s="130" t="n"/>
      <c r="G7" s="131" t="n"/>
      <c r="H7" s="65" t="inlineStr">
        <is>
          <t>จำนวนชั่วโมงที่สอน</t>
        </is>
      </c>
      <c r="I7" s="131" t="n"/>
      <c r="J7" s="65" t="inlineStr">
        <is>
          <t>หมายเหตุ</t>
        </is>
      </c>
    </row>
    <row r="8" ht="23.25" customHeight="1">
      <c r="A8" s="126" t="n"/>
      <c r="B8" s="126" t="n"/>
      <c r="C8" s="126" t="n"/>
      <c r="D8" s="65" t="inlineStr">
        <is>
          <t>วัน</t>
        </is>
      </c>
      <c r="E8" s="65" t="inlineStr">
        <is>
          <t>ว/ด/ป</t>
        </is>
      </c>
      <c r="F8" s="65" t="inlineStr">
        <is>
          <t>กลุ่มเรียน</t>
        </is>
      </c>
      <c r="G8" s="65" t="inlineStr">
        <is>
          <t>เวลาสอน</t>
        </is>
      </c>
      <c r="H8" s="65" t="inlineStr">
        <is>
          <t>บรรยาย</t>
        </is>
      </c>
      <c r="I8" s="65" t="inlineStr">
        <is>
          <t>ปฏิบัติการ</t>
        </is>
      </c>
      <c r="J8" s="126" t="n"/>
    </row>
    <row r="9" ht="23.25" customHeight="1">
      <c r="A9" s="25" t="n">
        <v>1</v>
      </c>
      <c r="B9" s="25">
        <f>ตารางสอน!I$3</f>
        <v/>
      </c>
      <c r="C9" s="25">
        <f t="array" ref="C9">_xlfn.IFS(ตารางสอน!T$3="ปริญญาตรี","ป.ตรี",ตารางสอน!T$3="ปริญญาโท","ป.โท",ตารางสอน!T$3="ปริญญาเอก","ป.เอก")</f>
        <v/>
      </c>
      <c r="D9" s="25" t="n"/>
      <c r="E9" s="26" t="n"/>
      <c r="F9" s="25" t="n"/>
      <c r="G9" s="25" t="n"/>
      <c r="H9" s="27">
        <f>IF(OR(J9="เช็คชื่อ",J9="ตรวจงาน",J9="เช็คชื่อ (ชดเชย)"),
(TIMEVALUE(SUBSTITUTE(TRIM(_xlfn.TEXTAFTER(G9,"-")),".",":"))-
TIMEVALUE(SUBSTITUTE(TRIM(_xlfn.TEXTBEFORE(G9,"-")),".",":")))*24,
"")</f>
        <v/>
      </c>
      <c r="I9" s="27">
        <f>IF(OR(J9="สอนปฏิบัติ",J9="สอนปฏิบัติ (ชดเชย)",J9="เตรียมเอกสารปฏิบัติ"),
(TIMEVALUE(SUBSTITUTE(TRIM(_xlfn.TEXTAFTER(G9,"-")),".",":"))-
TIMEVALUE(SUBSTITUTE(TRIM(_xlfn.TEXTBEFORE(G9,"-")),".",":")))*24,
"")</f>
        <v/>
      </c>
      <c r="J9" s="25" t="n"/>
    </row>
    <row r="10" ht="23.25" customHeight="1">
      <c r="A10" s="28" t="n"/>
      <c r="B10" s="28" t="n"/>
      <c r="C10" s="28" t="n"/>
      <c r="D10" s="28" t="n"/>
      <c r="E10" s="29" t="n"/>
      <c r="F10" s="28" t="n"/>
      <c r="G10" s="28" t="n"/>
      <c r="H10" s="30">
        <f>IF(OR(J10="เช็คชื่อ",J10="ตรวจงาน",J10="เช็คชื่อ (ชดเชย)"),
(TIMEVALUE(SUBSTITUTE(TRIM(_xlfn.TEXTAFTER(G10,"-")),".",":"))-
TIMEVALUE(SUBSTITUTE(TRIM(_xlfn.TEXTBEFORE(G10,"-")),".",":")))*24,
"")</f>
        <v/>
      </c>
      <c r="I10" s="30">
        <f>IF(OR(J10="สอนปฏิบัติ",J10="สอนปฏิบัติ (ชดเชย)",J10="เตรียมเอกสารปฏิบัติ"),
(TIMEVALUE(SUBSTITUTE(TRIM(_xlfn.TEXTAFTER(G10,"-")),".",":"))-
TIMEVALUE(SUBSTITUTE(TRIM(_xlfn.TEXTBEFORE(G10,"-")),".",":")))*24,
"")</f>
        <v/>
      </c>
      <c r="J10" s="28" t="n"/>
    </row>
    <row r="11" ht="23.25" customHeight="1">
      <c r="A11" s="28" t="n"/>
      <c r="B11" s="28" t="n"/>
      <c r="C11" s="28" t="n"/>
      <c r="D11" s="28" t="n"/>
      <c r="E11" s="29" t="n"/>
      <c r="F11" s="28" t="n"/>
      <c r="G11" s="28" t="n"/>
      <c r="H11" s="30">
        <f>IF(OR(J11="เช็คชื่อ",J11="ตรวจงาน",J11="เช็คชื่อ (ชดเชย)"),
(TIMEVALUE(SUBSTITUTE(TRIM(_xlfn.TEXTAFTER(G11,"-")),".",":"))-
TIMEVALUE(SUBSTITUTE(TRIM(_xlfn.TEXTBEFORE(G11,"-")),".",":")))*24,
"")</f>
        <v/>
      </c>
      <c r="I11" s="30">
        <f>IF(OR(J11="สอนปฏิบัติ",J11="สอนปฏิบัติ (ชดเชย)",J11="เตรียมเอกสารปฏิบัติ"),
(TIMEVALUE(SUBSTITUTE(TRIM(_xlfn.TEXTAFTER(G11,"-")),".",":"))-
TIMEVALUE(SUBSTITUTE(TRIM(_xlfn.TEXTBEFORE(G11,"-")),".",":")))*24,
"")</f>
        <v/>
      </c>
      <c r="J11" s="28" t="n"/>
    </row>
    <row r="12" ht="23.25" customHeight="1">
      <c r="A12" s="28" t="n"/>
      <c r="B12" s="28" t="n"/>
      <c r="C12" s="28" t="n"/>
      <c r="D12" s="28" t="n"/>
      <c r="E12" s="29" t="n"/>
      <c r="F12" s="28" t="n"/>
      <c r="G12" s="28" t="n"/>
      <c r="H12" s="30">
        <f>IF(OR(J12="เช็คชื่อ",J12="ตรวจงาน",J12="เช็คชื่อ (ชดเชย)"),
(TIMEVALUE(SUBSTITUTE(TRIM(_xlfn.TEXTAFTER(G12,"-")),".",":"))-
TIMEVALUE(SUBSTITUTE(TRIM(_xlfn.TEXTBEFORE(G12,"-")),".",":")))*24,
"")</f>
        <v/>
      </c>
      <c r="I12" s="30">
        <f>IF(OR(J12="สอนปฏิบัติ",J12="สอนปฏิบัติ (ชดเชย)",J12="เตรียมเอกสารปฏิบัติ"),
(TIMEVALUE(SUBSTITUTE(TRIM(_xlfn.TEXTAFTER(G12,"-")),".",":"))-
TIMEVALUE(SUBSTITUTE(TRIM(_xlfn.TEXTBEFORE(G12,"-")),".",":")))*24,
"")</f>
        <v/>
      </c>
      <c r="J12" s="28" t="n"/>
    </row>
    <row r="13" ht="23.25" customHeight="1">
      <c r="A13" s="28" t="n"/>
      <c r="B13" s="28" t="n"/>
      <c r="C13" s="28" t="n"/>
      <c r="D13" s="28" t="n"/>
      <c r="E13" s="29" t="n"/>
      <c r="F13" s="28" t="n"/>
      <c r="G13" s="28" t="n"/>
      <c r="H13" s="30">
        <f>IF(OR(J13="เช็คชื่อ",J13="ตรวจงาน",J13="เช็คชื่อ (ชดเชย)"),
(TIMEVALUE(SUBSTITUTE(TRIM(_xlfn.TEXTAFTER(G13,"-")),".",":"))-
TIMEVALUE(SUBSTITUTE(TRIM(_xlfn.TEXTBEFORE(G13,"-")),".",":")))*24,
"")</f>
        <v/>
      </c>
      <c r="I13" s="30">
        <f>IF(OR(J13="สอนปฏิบัติ",J13="สอนปฏิบัติ (ชดเชย)",J13="เตรียมเอกสารปฏิบัติ"),
(TIMEVALUE(SUBSTITUTE(TRIM(_xlfn.TEXTAFTER(G13,"-")),".",":"))-
TIMEVALUE(SUBSTITUTE(TRIM(_xlfn.TEXTBEFORE(G13,"-")),".",":")))*24,
"")</f>
        <v/>
      </c>
      <c r="J13" s="28" t="n"/>
    </row>
    <row r="14" ht="23.25" customHeight="1">
      <c r="A14" s="28" t="n"/>
      <c r="B14" s="28" t="n"/>
      <c r="C14" s="28" t="n"/>
      <c r="D14" s="28" t="n"/>
      <c r="E14" s="29" t="n"/>
      <c r="F14" s="28" t="n"/>
      <c r="G14" s="28" t="n"/>
      <c r="H14" s="30">
        <f>IF(OR(J14="เช็คชื่อ",J14="ตรวจงาน",J14="เช็คชื่อ (ชดเชย)"),
(TIMEVALUE(SUBSTITUTE(TRIM(_xlfn.TEXTAFTER(G14,"-")),".",":"))-
TIMEVALUE(SUBSTITUTE(TRIM(_xlfn.TEXTBEFORE(G14,"-")),".",":")))*24,
"")</f>
        <v/>
      </c>
      <c r="I14" s="30">
        <f>IF(OR(J14="สอนปฏิบัติ",J14="สอนปฏิบัติ (ชดเชย)",J14="เตรียมเอกสารปฏิบัติ"),
(TIMEVALUE(SUBSTITUTE(TRIM(_xlfn.TEXTAFTER(G14,"-")),".",":"))-
TIMEVALUE(SUBSTITUTE(TRIM(_xlfn.TEXTBEFORE(G14,"-")),".",":")))*24,
"")</f>
        <v/>
      </c>
      <c r="J14" s="28" t="n"/>
    </row>
    <row r="15" ht="23.25" customHeight="1">
      <c r="A15" s="28" t="n"/>
      <c r="B15" s="28" t="n"/>
      <c r="C15" s="28" t="n"/>
      <c r="D15" s="28" t="n"/>
      <c r="E15" s="29" t="n"/>
      <c r="F15" s="28" t="n"/>
      <c r="G15" s="28" t="n"/>
      <c r="H15" s="30">
        <f>IF(OR(J15="เช็คชื่อ",J15="ตรวจงาน",J15="เช็คชื่อ (ชดเชย)"),
(TIMEVALUE(SUBSTITUTE(TRIM(_xlfn.TEXTAFTER(G15,"-")),".",":"))-
TIMEVALUE(SUBSTITUTE(TRIM(_xlfn.TEXTBEFORE(G15,"-")),".",":")))*24,
"")</f>
        <v/>
      </c>
      <c r="I15" s="30">
        <f>IF(OR(J15="สอนปฏิบัติ",J15="สอนปฏิบัติ (ชดเชย)",J15="เตรียมเอกสารปฏิบัติ"),
(TIMEVALUE(SUBSTITUTE(TRIM(_xlfn.TEXTAFTER(G15,"-")),".",":"))-
TIMEVALUE(SUBSTITUTE(TRIM(_xlfn.TEXTBEFORE(G15,"-")),".",":")))*24,
"")</f>
        <v/>
      </c>
      <c r="J15" s="28" t="n"/>
    </row>
    <row r="16" ht="23.25" customHeight="1">
      <c r="A16" s="28" t="n"/>
      <c r="B16" s="28" t="n"/>
      <c r="C16" s="28" t="n"/>
      <c r="D16" s="28" t="n"/>
      <c r="E16" s="29" t="n"/>
      <c r="F16" s="28" t="n"/>
      <c r="G16" s="28" t="n"/>
      <c r="H16" s="30">
        <f>IF(OR(J16="เช็คชื่อ",J16="ตรวจงาน",J16="เช็คชื่อ (ชดเชย)"),
(TIMEVALUE(SUBSTITUTE(TRIM(_xlfn.TEXTAFTER(G16,"-")),".",":"))-
TIMEVALUE(SUBSTITUTE(TRIM(_xlfn.TEXTBEFORE(G16,"-")),".",":")))*24,
"")</f>
        <v/>
      </c>
      <c r="I16" s="30">
        <f>IF(OR(J16="สอนปฏิบัติ",J16="สอนปฏิบัติ (ชดเชย)",J16="เตรียมเอกสารปฏิบัติ"),
(TIMEVALUE(SUBSTITUTE(TRIM(_xlfn.TEXTAFTER(G16,"-")),".",":"))-
TIMEVALUE(SUBSTITUTE(TRIM(_xlfn.TEXTBEFORE(G16,"-")),".",":")))*24,
"")</f>
        <v/>
      </c>
      <c r="J16" s="28" t="n"/>
    </row>
    <row r="17" ht="23.25" customHeight="1">
      <c r="A17" s="28" t="n"/>
      <c r="B17" s="28" t="n"/>
      <c r="C17" s="28" t="n"/>
      <c r="D17" s="28" t="n"/>
      <c r="E17" s="29" t="n"/>
      <c r="F17" s="28" t="n"/>
      <c r="G17" s="28" t="n"/>
      <c r="H17" s="30">
        <f>IF(OR(J17="เช็คชื่อ",J17="ตรวจงาน",J17="เช็คชื่อ (ชดเชย)"),
(TIMEVALUE(SUBSTITUTE(TRIM(_xlfn.TEXTAFTER(G17,"-")),".",":"))-
TIMEVALUE(SUBSTITUTE(TRIM(_xlfn.TEXTBEFORE(G17,"-")),".",":")))*24,
"")</f>
        <v/>
      </c>
      <c r="I17" s="30">
        <f>IF(OR(J17="สอนปฏิบัติ",J17="สอนปฏิบัติ (ชดเชย)",J17="เตรียมเอกสารปฏิบัติ"),
(TIMEVALUE(SUBSTITUTE(TRIM(_xlfn.TEXTAFTER(G17,"-")),".",":"))-
TIMEVALUE(SUBSTITUTE(TRIM(_xlfn.TEXTBEFORE(G17,"-")),".",":")))*24,
"")</f>
        <v/>
      </c>
      <c r="J17" s="28" t="n"/>
    </row>
    <row r="18" ht="23.25" customHeight="1">
      <c r="A18" s="28" t="n"/>
      <c r="B18" s="28" t="n"/>
      <c r="C18" s="28" t="n"/>
      <c r="D18" s="28" t="n"/>
      <c r="E18" s="29" t="n"/>
      <c r="F18" s="28" t="n"/>
      <c r="G18" s="28" t="n"/>
      <c r="H18" s="30">
        <f>IF(OR(J18="เช็คชื่อ",J18="ตรวจงาน",J18="เช็คชื่อ (ชดเชย)"),
(TIMEVALUE(SUBSTITUTE(TRIM(_xlfn.TEXTAFTER(G18,"-")),".",":"))-
TIMEVALUE(SUBSTITUTE(TRIM(_xlfn.TEXTBEFORE(G18,"-")),".",":")))*24,
"")</f>
        <v/>
      </c>
      <c r="I18" s="30">
        <f>IF(OR(J18="สอนปฏิบัติ",J18="สอนปฏิบัติ (ชดเชย)",J18="เตรียมเอกสารปฏิบัติ"),
(TIMEVALUE(SUBSTITUTE(TRIM(_xlfn.TEXTAFTER(G18,"-")),".",":"))-
TIMEVALUE(SUBSTITUTE(TRIM(_xlfn.TEXTBEFORE(G18,"-")),".",":")))*24,
"")</f>
        <v/>
      </c>
      <c r="J18" s="28" t="n"/>
    </row>
    <row r="19" ht="23.25" customHeight="1">
      <c r="A19" s="28" t="n"/>
      <c r="B19" s="28" t="n"/>
      <c r="C19" s="28" t="n"/>
      <c r="D19" s="28" t="n"/>
      <c r="E19" s="29" t="n"/>
      <c r="F19" s="28" t="n"/>
      <c r="G19" s="28" t="n"/>
      <c r="H19" s="30">
        <f>IF(OR(J19="เช็คชื่อ",J19="ตรวจงาน",J19="เช็คชื่อ (ชดเชย)"),
(TIMEVALUE(SUBSTITUTE(TRIM(_xlfn.TEXTAFTER(G19,"-")),".",":"))-
TIMEVALUE(SUBSTITUTE(TRIM(_xlfn.TEXTBEFORE(G19,"-")),".",":")))*24,
"")</f>
        <v/>
      </c>
      <c r="I19" s="30">
        <f>IF(OR(J19="สอนปฏิบัติ",J19="สอนปฏิบัติ (ชดเชย)",J19="เตรียมเอกสารปฏิบัติ"),
(TIMEVALUE(SUBSTITUTE(TRIM(_xlfn.TEXTAFTER(G19,"-")),".",":"))-
TIMEVALUE(SUBSTITUTE(TRIM(_xlfn.TEXTBEFORE(G19,"-")),".",":")))*24,
"")</f>
        <v/>
      </c>
      <c r="J19" s="28" t="n"/>
    </row>
    <row r="20" ht="23.25" customHeight="1">
      <c r="A20" s="28" t="n"/>
      <c r="B20" s="28" t="n"/>
      <c r="C20" s="28" t="n"/>
      <c r="D20" s="28" t="n"/>
      <c r="E20" s="29" t="n"/>
      <c r="F20" s="28" t="n"/>
      <c r="G20" s="28" t="n"/>
      <c r="H20" s="30">
        <f>IF(OR(J20="เช็คชื่อ",J20="ตรวจงาน",J20="เช็คชื่อ (ชดเชย)"),
(TIMEVALUE(SUBSTITUTE(TRIM(_xlfn.TEXTAFTER(G20,"-")),".",":"))-
TIMEVALUE(SUBSTITUTE(TRIM(_xlfn.TEXTBEFORE(G20,"-")),".",":")))*24,
"")</f>
        <v/>
      </c>
      <c r="I20" s="30">
        <f>IF(OR(J20="สอนปฏิบัติ",J20="สอนปฏิบัติ (ชดเชย)",J20="เตรียมเอกสารปฏิบัติ"),
(TIMEVALUE(SUBSTITUTE(TRIM(_xlfn.TEXTAFTER(G20,"-")),".",":"))-
TIMEVALUE(SUBSTITUTE(TRIM(_xlfn.TEXTBEFORE(G20,"-")),".",":")))*24,
"")</f>
        <v/>
      </c>
      <c r="J20" s="28" t="n"/>
    </row>
    <row r="21" ht="23.25" customHeight="1">
      <c r="A21" s="28" t="n"/>
      <c r="B21" s="28" t="n"/>
      <c r="C21" s="28" t="n"/>
      <c r="D21" s="28" t="n"/>
      <c r="E21" s="29" t="n"/>
      <c r="F21" s="28" t="n"/>
      <c r="G21" s="28" t="n"/>
      <c r="H21" s="30">
        <f>IF(OR(J21="เช็คชื่อ",J21="ตรวจงาน",J21="เช็คชื่อ (ชดเชย)"),
(TIMEVALUE(SUBSTITUTE(TRIM(_xlfn.TEXTAFTER(G21,"-")),".",":"))-
TIMEVALUE(SUBSTITUTE(TRIM(_xlfn.TEXTBEFORE(G21,"-")),".",":")))*24,
"")</f>
        <v/>
      </c>
      <c r="I21" s="30">
        <f>IF(OR(J21="สอนปฏิบัติ",J21="สอนปฏิบัติ (ชดเชย)",J21="เตรียมเอกสารปฏิบัติ"),
(TIMEVALUE(SUBSTITUTE(TRIM(_xlfn.TEXTAFTER(G21,"-")),".",":"))-
TIMEVALUE(SUBSTITUTE(TRIM(_xlfn.TEXTBEFORE(G21,"-")),".",":")))*24,
"")</f>
        <v/>
      </c>
      <c r="J21" s="28" t="n"/>
    </row>
    <row r="22" ht="23.25" customHeight="1">
      <c r="A22" s="40" t="n"/>
      <c r="B22" s="40" t="n"/>
      <c r="C22" s="40" t="n"/>
      <c r="D22" s="40" t="n"/>
      <c r="E22" s="41" t="n"/>
      <c r="F22" s="40" t="n"/>
      <c r="G22" s="40" t="n"/>
      <c r="H22" s="42">
        <f>IF(OR(J22="เช็คชื่อ",J22="ตรวจงาน",J22="เช็คชื่อ (ชดเชย)"),
(TIMEVALUE(SUBSTITUTE(TRIM(_xlfn.TEXTAFTER(G22,"-")),".",":"))-
TIMEVALUE(SUBSTITUTE(TRIM(_xlfn.TEXTBEFORE(G22,"-")),".",":")))*24,
"")</f>
        <v/>
      </c>
      <c r="I22" s="42">
        <f>IF(OR(J22="สอนปฏิบัติ",J22="สอนปฏิบัติ (ชดเชย)",J22="เตรียมเอกสารปฏิบัติ"),
(TIMEVALUE(SUBSTITUTE(TRIM(_xlfn.TEXTAFTER(G22,"-")),".",":"))-
TIMEVALUE(SUBSTITUTE(TRIM(_xlfn.TEXTBEFORE(G22,"-")),".",":")))*24,
"")</f>
        <v/>
      </c>
      <c r="J22" s="40" t="n"/>
    </row>
    <row r="23" ht="23.25" customHeight="1">
      <c r="A23" s="31" t="n"/>
      <c r="B23" s="31" t="n"/>
      <c r="C23" s="31" t="n"/>
      <c r="D23" s="31" t="n"/>
      <c r="E23" s="32" t="n"/>
      <c r="F23" s="31" t="n"/>
      <c r="G23" s="31" t="n"/>
      <c r="H23" s="33">
        <f>IF(OR(J23="เช็คชื่อ",J23="ตรวจงาน",J23="เช็คชื่อ (ชดเชย)"),
(TIMEVALUE(SUBSTITUTE(TRIM(_xlfn.TEXTAFTER(G23,"-")),".",":"))-
TIMEVALUE(SUBSTITUTE(TRIM(_xlfn.TEXTBEFORE(G23,"-")),".",":")))*24,
"")</f>
        <v/>
      </c>
      <c r="I23" s="33">
        <f>IF(OR(J23="สอนปฏิบัติ",J23="สอนปฏิบัติ (ชดเชย)",J23="เตรียมเอกสารปฏิบัติ"),
(TIMEVALUE(SUBSTITUTE(TRIM(_xlfn.TEXTAFTER(G23,"-")),".",":"))-
TIMEVALUE(SUBSTITUTE(TRIM(_xlfn.TEXTBEFORE(G23,"-")),".",":")))*24,
"")</f>
        <v/>
      </c>
      <c r="J23" s="31" t="n"/>
    </row>
    <row r="24" ht="23.25" customHeight="1">
      <c r="B24" s="16" t="n"/>
      <c r="C24" s="66" t="inlineStr">
        <is>
          <t>รวมเวลาที่สอน</t>
        </is>
      </c>
      <c r="D24" s="68" t="inlineStr">
        <is>
          <t>ปริญญาตรี</t>
        </is>
      </c>
      <c r="E24" s="119" t="n"/>
      <c r="F24" s="119" t="n"/>
      <c r="G24" s="123" t="n"/>
      <c r="H24" s="34">
        <f>IF(C9="ป.ตรี", SUM(H9:H23),"")</f>
        <v/>
      </c>
      <c r="I24" s="34">
        <f>IF(C9="ป.ตรี", SUM(I9:I23),"")</f>
        <v/>
      </c>
      <c r="J24" s="68" t="n"/>
    </row>
    <row r="25" ht="23.25" customHeight="1">
      <c r="B25" s="16" t="n"/>
      <c r="C25" s="126" t="n"/>
      <c r="D25" s="69" t="inlineStr">
        <is>
          <t>ปริญญาโท/เอก</t>
        </is>
      </c>
      <c r="E25" s="130" t="n"/>
      <c r="F25" s="130" t="n"/>
      <c r="G25" s="131" t="n"/>
      <c r="H25" s="24">
        <f>IF(OR(C9="ป.โท", C9="ป.เอก"), SUM(H9:H23),"")</f>
        <v/>
      </c>
      <c r="I25" s="24">
        <f>IF(OR(C9="ป.โท", C9="ป.เอก"), SUM(I9:I23),"")</f>
        <v/>
      </c>
      <c r="J25" s="69" t="n"/>
    </row>
    <row r="26" ht="23.25" customHeight="1">
      <c r="A26" s="70" t="inlineStr">
        <is>
          <t xml:space="preserve">จำนวนเงินที่ขอเบิก </t>
        </is>
      </c>
    </row>
    <row r="27" ht="23.25" customHeight="1">
      <c r="B27" s="35" t="inlineStr">
        <is>
          <t>- ปริญญาตรี  (ภาคปกติ)</t>
        </is>
      </c>
      <c r="C27" s="36" t="inlineStr">
        <is>
          <t>-</t>
        </is>
      </c>
      <c r="D27" s="16" t="inlineStr">
        <is>
          <t>ชั่วโมง</t>
        </is>
      </c>
      <c r="E27" s="16" t="inlineStr">
        <is>
          <t>อัตราชั่วโมงละ</t>
        </is>
      </c>
      <c r="F27" s="16" t="n">
        <v>40</v>
      </c>
      <c r="G27" s="70" t="inlineStr">
        <is>
          <t>บาท</t>
        </is>
      </c>
    </row>
    <row r="28" ht="23.25" customHeight="1">
      <c r="B28" s="35" t="inlineStr">
        <is>
          <t>- ปริญญาตรี  (โครงการพิเศษ)</t>
        </is>
      </c>
      <c r="C28" s="36">
        <f>IF(C9="ป.ตรี", SUM(H24:I25),"-")</f>
        <v/>
      </c>
      <c r="D28" s="16" t="inlineStr">
        <is>
          <t>ชั่วโมง</t>
        </is>
      </c>
      <c r="E28" s="16" t="inlineStr">
        <is>
          <t>อัตราชั่วโมงละ</t>
        </is>
      </c>
      <c r="F28" s="16" t="n">
        <v>50</v>
      </c>
      <c r="G28" s="70" t="inlineStr">
        <is>
          <t>บาท</t>
        </is>
      </c>
    </row>
    <row r="29" ht="23.25" customHeight="1">
      <c r="B29" s="35" t="inlineStr">
        <is>
          <t>- ปริญญาโท/เอก  (ภาคปกติ)</t>
        </is>
      </c>
      <c r="C29" s="36" t="inlineStr">
        <is>
          <t>-</t>
        </is>
      </c>
      <c r="D29" s="16" t="inlineStr">
        <is>
          <t>ชั่วโมง</t>
        </is>
      </c>
      <c r="E29" s="16" t="inlineStr">
        <is>
          <t>อัตราชั่วโมงละ</t>
        </is>
      </c>
      <c r="F29" s="16" t="n">
        <v>50</v>
      </c>
      <c r="G29" s="70" t="inlineStr">
        <is>
          <t>บาท</t>
        </is>
      </c>
    </row>
    <row r="30" ht="23.25" customHeight="1">
      <c r="B30" s="35" t="inlineStr">
        <is>
          <t>- ปริญญาโท/เอก  (ภาคพิเศษ)</t>
        </is>
      </c>
      <c r="C30" s="16">
        <f>IF(OR(C9="ป.โท", C9="ป.เอก"), "เหมาจ่าย","-")</f>
        <v/>
      </c>
      <c r="G30" s="70" t="n"/>
    </row>
    <row r="31" ht="23.25" customHeight="1">
      <c r="A31" s="71" t="n"/>
      <c r="B31" s="130" t="n"/>
      <c r="C31" s="130" t="n"/>
      <c r="D31" s="130" t="n"/>
      <c r="E31" s="130" t="n"/>
      <c r="F31" s="130" t="n"/>
      <c r="G31" s="130" t="n"/>
      <c r="H31" s="130" t="n"/>
      <c r="I31" s="130" t="n"/>
      <c r="J31" s="131" t="n"/>
    </row>
    <row r="32" ht="23.25" customHeight="1">
      <c r="A32" s="63" t="n"/>
      <c r="B32" s="130" t="n"/>
      <c r="C32" s="130" t="n"/>
      <c r="D32" s="130" t="n"/>
      <c r="E32" s="130" t="n"/>
      <c r="F32" s="130" t="n"/>
      <c r="G32" s="130" t="n"/>
      <c r="H32" s="130" t="n"/>
      <c r="I32" s="130" t="n"/>
      <c r="J32" s="131" t="n"/>
    </row>
    <row r="33" ht="23.25" customHeight="1">
      <c r="A33" s="132" t="inlineStr">
        <is>
          <t>ผู้ปฏิบัติงาน</t>
        </is>
      </c>
      <c r="B33" s="133" t="n"/>
      <c r="C33" s="134" t="n"/>
      <c r="D33" s="62" t="n"/>
      <c r="E33" s="135" t="inlineStr">
        <is>
          <t>อาจารย์ผู้สอน</t>
        </is>
      </c>
      <c r="F33" s="133" t="n"/>
      <c r="G33" s="134" t="n"/>
      <c r="H33" s="132" t="inlineStr">
        <is>
          <t>ผู้รับรอง</t>
        </is>
      </c>
      <c r="I33" s="133" t="n"/>
      <c r="J33" s="134" t="n"/>
    </row>
    <row r="34" ht="23.25" customHeight="1">
      <c r="A34" s="38" t="n"/>
      <c r="B34" s="73" t="n"/>
      <c r="C34" s="39" t="n"/>
      <c r="D34" s="73" t="n"/>
      <c r="E34" s="73" t="n"/>
      <c r="F34" s="73" t="n"/>
      <c r="G34" s="73" t="n"/>
      <c r="H34" s="38" t="n"/>
      <c r="I34" s="73" t="n"/>
      <c r="J34" s="39" t="n"/>
    </row>
    <row r="35" ht="23.25" customHeight="1">
      <c r="A35" s="136" t="inlineStr">
        <is>
          <t>ลงชื่อ…………....…...……………….....…</t>
        </is>
      </c>
      <c r="C35" s="137" t="n"/>
      <c r="D35" s="136" t="inlineStr">
        <is>
          <t>ลงชื่อ…………..............……………………</t>
        </is>
      </c>
      <c r="G35" s="137" t="n"/>
      <c r="H35" s="58" t="inlineStr">
        <is>
          <t>ลงชื่อ…………....………….........…………</t>
        </is>
      </c>
      <c r="J35" s="137" t="n"/>
    </row>
    <row r="36" ht="23.25" customHeight="1">
      <c r="A36" s="138">
        <f>ตารางสอน!B22</f>
        <v/>
      </c>
      <c r="C36" s="137" t="n"/>
      <c r="D36" s="136">
        <f>ภาคปกติ!D36</f>
        <v/>
      </c>
      <c r="G36" s="137" t="n"/>
      <c r="H36" s="58">
        <f>ภาคปกติ!H36</f>
        <v/>
      </c>
      <c r="J36" s="137" t="n"/>
    </row>
    <row r="37" ht="23.25" customHeight="1">
      <c r="A37" s="136" t="inlineStr">
        <is>
          <t>วันที่….เดือน…………..…พ.ศ…..……</t>
        </is>
      </c>
      <c r="C37" s="137" t="n"/>
      <c r="D37" s="136" t="inlineStr">
        <is>
          <t>วันที่….เดือน…………..…พ.ศ…..……</t>
        </is>
      </c>
      <c r="G37" s="137" t="n"/>
      <c r="H37" s="58" t="inlineStr">
        <is>
          <t>ตำแหน่ง หัวหน้าสาขาวิชาวิทยาการคอมพิวเตอร์</t>
        </is>
      </c>
      <c r="J37" s="137" t="n"/>
    </row>
    <row r="38" ht="23.25" customHeight="1">
      <c r="A38" s="139" t="n"/>
      <c r="B38" s="133" t="n"/>
      <c r="C38" s="134" t="n"/>
      <c r="D38" s="139" t="n"/>
      <c r="E38" s="133" t="n"/>
      <c r="F38" s="133" t="n"/>
      <c r="G38" s="134" t="n"/>
      <c r="H38" s="139" t="inlineStr">
        <is>
          <t>วันที่……เดือน.………..…พ.ศ…..…</t>
        </is>
      </c>
      <c r="I38" s="133" t="n"/>
      <c r="J38" s="134" t="n"/>
    </row>
  </sheetData>
  <mergeCells count="33">
    <mergeCell ref="A32:J32"/>
    <mergeCell ref="H36:J36"/>
    <mergeCell ref="A37:C37"/>
    <mergeCell ref="D25:G25"/>
    <mergeCell ref="A7:A8"/>
    <mergeCell ref="D24:G24"/>
    <mergeCell ref="A4:J4"/>
    <mergeCell ref="C24:C25"/>
    <mergeCell ref="D38:G38"/>
    <mergeCell ref="D6:E6"/>
    <mergeCell ref="A33:C33"/>
    <mergeCell ref="A31:J31"/>
    <mergeCell ref="D35:G35"/>
    <mergeCell ref="H37:J37"/>
    <mergeCell ref="A35:C35"/>
    <mergeCell ref="J7:J8"/>
    <mergeCell ref="A38:C38"/>
    <mergeCell ref="H33:J33"/>
    <mergeCell ref="A1:J1"/>
    <mergeCell ref="A26:B26"/>
    <mergeCell ref="D36:G36"/>
    <mergeCell ref="H7:I7"/>
    <mergeCell ref="C7:C8"/>
    <mergeCell ref="H35:J35"/>
    <mergeCell ref="H38:J38"/>
    <mergeCell ref="A36:C36"/>
    <mergeCell ref="E33:G33"/>
    <mergeCell ref="A3:J3"/>
    <mergeCell ref="D5:E5"/>
    <mergeCell ref="B7:B8"/>
    <mergeCell ref="D7:G7"/>
    <mergeCell ref="A2:J2"/>
    <mergeCell ref="D37:G37"/>
  </mergeCells>
  <pageMargins left="0.95" right="0.7" top="0.75" bottom="0.75" header="0.3" footer="0.3"/>
  <pageSetup orientation="portrait" scale="79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computer</dc:creator>
  <dcterms:created xsi:type="dcterms:W3CDTF">2017-12-19T02:38:50Z</dcterms:created>
  <dcterms:modified xsi:type="dcterms:W3CDTF">2026-07-30T20:31:54Z</dcterms:modified>
  <cp:lastModifiedBy>Worapoj Suwanpipob</cp:lastModifiedBy>
  <cp:lastPrinted>2026-07-30T15:20:01Z</cp:lastPrinted>
</cp:coreProperties>
</file>